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ink/ink1.xml" ContentType="application/inkml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uminho365-my.sharepoint.com/personal/a100611_uminho_pt/Documents/"/>
    </mc:Choice>
  </mc:AlternateContent>
  <xr:revisionPtr revIDLastSave="0" documentId="8_{FE69ED14-E8FD-457A-9263-B231EF7B2EDA}" xr6:coauthVersionLast="47" xr6:coauthVersionMax="47" xr10:uidLastSave="{00000000-0000-0000-0000-000000000000}"/>
  <bookViews>
    <workbookView xWindow="0" yWindow="500" windowWidth="28800" windowHeight="15720" xr2:uid="{86BE97D3-465D-4C65-8F66-148609233D18}"/>
  </bookViews>
  <sheets>
    <sheet name="PS" sheetId="1" r:id="rId1"/>
    <sheet name="PP normal" sheetId="2" r:id="rId2"/>
    <sheet name="PP estirado" sheetId="3" r:id="rId3"/>
    <sheet name="Folha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4" l="1"/>
  <c r="E20" i="4"/>
  <c r="D20" i="4"/>
  <c r="O24" i="4"/>
  <c r="F11" i="4" s="1"/>
  <c r="N24" i="4"/>
  <c r="E11" i="4" s="1"/>
  <c r="D11" i="4"/>
</calcChain>
</file>

<file path=xl/sharedStrings.xml><?xml version="1.0" encoding="utf-8"?>
<sst xmlns="http://schemas.openxmlformats.org/spreadsheetml/2006/main" count="37" uniqueCount="21">
  <si>
    <t>Temperatura (°C)</t>
  </si>
  <si>
    <t>Fluxo de Calor (mW/mg)</t>
  </si>
  <si>
    <t>PS (amorfo)</t>
  </si>
  <si>
    <t>PP não estirado</t>
  </si>
  <si>
    <t>PP estirado</t>
  </si>
  <si>
    <t>Temperatura de fusão (Tf), ºC</t>
  </si>
  <si>
    <t>NA</t>
  </si>
  <si>
    <t>Temperatura de transição vítrea (Tg), ºC</t>
  </si>
  <si>
    <t>Entalpia de fusão (∆Hm), J/g</t>
  </si>
  <si>
    <t>Grau de cristalinidade (%)</t>
  </si>
  <si>
    <t>VALORES TEÓRICOS</t>
  </si>
  <si>
    <t>160-170</t>
  </si>
  <si>
    <t>∆Hc</t>
  </si>
  <si>
    <t>Área do pico referrente ao processo de cristalização</t>
  </si>
  <si>
    <t>80-105</t>
  </si>
  <si>
    <t xml:space="preserve">-20 até aos 20' </t>
  </si>
  <si>
    <t>∆Hm</t>
  </si>
  <si>
    <t>Área do pico da fusão do polímero</t>
  </si>
  <si>
    <t>∆H◦ m</t>
  </si>
  <si>
    <t>∆Hm de referência se a cristalinidade do material fosse 100%</t>
  </si>
  <si>
    <t>Cristalinidade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</si>
</sst>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PS!$AA$7:$AA$74</c:f>
              <c:numCache>
                <c:formatCode>General</c:formatCode>
                <c:ptCount val="68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52</c:v>
                </c:pt>
                <c:pt idx="12">
                  <c:v>54</c:v>
                </c:pt>
                <c:pt idx="13">
                  <c:v>56</c:v>
                </c:pt>
                <c:pt idx="14">
                  <c:v>58</c:v>
                </c:pt>
                <c:pt idx="15">
                  <c:v>60</c:v>
                </c:pt>
                <c:pt idx="16">
                  <c:v>62</c:v>
                </c:pt>
                <c:pt idx="17">
                  <c:v>64</c:v>
                </c:pt>
                <c:pt idx="18">
                  <c:v>66</c:v>
                </c:pt>
                <c:pt idx="19">
                  <c:v>68</c:v>
                </c:pt>
                <c:pt idx="20">
                  <c:v>70</c:v>
                </c:pt>
                <c:pt idx="21">
                  <c:v>72</c:v>
                </c:pt>
                <c:pt idx="22">
                  <c:v>74</c:v>
                </c:pt>
                <c:pt idx="23">
                  <c:v>76</c:v>
                </c:pt>
                <c:pt idx="24">
                  <c:v>78</c:v>
                </c:pt>
                <c:pt idx="25">
                  <c:v>80</c:v>
                </c:pt>
                <c:pt idx="26">
                  <c:v>82</c:v>
                </c:pt>
                <c:pt idx="27">
                  <c:v>83.2</c:v>
                </c:pt>
                <c:pt idx="28">
                  <c:v>84</c:v>
                </c:pt>
                <c:pt idx="29">
                  <c:v>86.4</c:v>
                </c:pt>
                <c:pt idx="30">
                  <c:v>88.1</c:v>
                </c:pt>
                <c:pt idx="31">
                  <c:v>90</c:v>
                </c:pt>
                <c:pt idx="32">
                  <c:v>92</c:v>
                </c:pt>
                <c:pt idx="33">
                  <c:v>94</c:v>
                </c:pt>
                <c:pt idx="34">
                  <c:v>96</c:v>
                </c:pt>
                <c:pt idx="35">
                  <c:v>98</c:v>
                </c:pt>
                <c:pt idx="36">
                  <c:v>100</c:v>
                </c:pt>
                <c:pt idx="37">
                  <c:v>102</c:v>
                </c:pt>
                <c:pt idx="38">
                  <c:v>104</c:v>
                </c:pt>
                <c:pt idx="39">
                  <c:v>106</c:v>
                </c:pt>
                <c:pt idx="40">
                  <c:v>108</c:v>
                </c:pt>
                <c:pt idx="41">
                  <c:v>110</c:v>
                </c:pt>
                <c:pt idx="42">
                  <c:v>112</c:v>
                </c:pt>
                <c:pt idx="43">
                  <c:v>114</c:v>
                </c:pt>
                <c:pt idx="44">
                  <c:v>116</c:v>
                </c:pt>
                <c:pt idx="45">
                  <c:v>118</c:v>
                </c:pt>
                <c:pt idx="46">
                  <c:v>120</c:v>
                </c:pt>
                <c:pt idx="47">
                  <c:v>122</c:v>
                </c:pt>
                <c:pt idx="48">
                  <c:v>124</c:v>
                </c:pt>
                <c:pt idx="49">
                  <c:v>126</c:v>
                </c:pt>
                <c:pt idx="50">
                  <c:v>128</c:v>
                </c:pt>
                <c:pt idx="51">
                  <c:v>130</c:v>
                </c:pt>
                <c:pt idx="52">
                  <c:v>132</c:v>
                </c:pt>
                <c:pt idx="53">
                  <c:v>134</c:v>
                </c:pt>
                <c:pt idx="54">
                  <c:v>136</c:v>
                </c:pt>
                <c:pt idx="55">
                  <c:v>138</c:v>
                </c:pt>
                <c:pt idx="56">
                  <c:v>140</c:v>
                </c:pt>
                <c:pt idx="57">
                  <c:v>142</c:v>
                </c:pt>
                <c:pt idx="58">
                  <c:v>144</c:v>
                </c:pt>
                <c:pt idx="59">
                  <c:v>146</c:v>
                </c:pt>
                <c:pt idx="60">
                  <c:v>148</c:v>
                </c:pt>
                <c:pt idx="61">
                  <c:v>188</c:v>
                </c:pt>
                <c:pt idx="62">
                  <c:v>190</c:v>
                </c:pt>
                <c:pt idx="63">
                  <c:v>192</c:v>
                </c:pt>
                <c:pt idx="64">
                  <c:v>194</c:v>
                </c:pt>
                <c:pt idx="65">
                  <c:v>196</c:v>
                </c:pt>
                <c:pt idx="66">
                  <c:v>198</c:v>
                </c:pt>
                <c:pt idx="67">
                  <c:v>200</c:v>
                </c:pt>
              </c:numCache>
            </c:numRef>
          </c:xVal>
          <c:yVal>
            <c:numRef>
              <c:f>PS!$AB$7:$AB$74</c:f>
              <c:numCache>
                <c:formatCode>General</c:formatCode>
                <c:ptCount val="68"/>
                <c:pt idx="0">
                  <c:v>0.28000000000000003</c:v>
                </c:pt>
                <c:pt idx="1">
                  <c:v>0.4138</c:v>
                </c:pt>
                <c:pt idx="2">
                  <c:v>0.49490000000000001</c:v>
                </c:pt>
                <c:pt idx="3">
                  <c:v>0.54410000000000003</c:v>
                </c:pt>
                <c:pt idx="4">
                  <c:v>0.57399999999999995</c:v>
                </c:pt>
                <c:pt idx="5">
                  <c:v>0.61399999999999999</c:v>
                </c:pt>
                <c:pt idx="6">
                  <c:v>0.61280000000000001</c:v>
                </c:pt>
                <c:pt idx="7">
                  <c:v>0.61160000000000003</c:v>
                </c:pt>
                <c:pt idx="8">
                  <c:v>0.61040000000000005</c:v>
                </c:pt>
                <c:pt idx="9">
                  <c:v>0.60919999999999996</c:v>
                </c:pt>
                <c:pt idx="10">
                  <c:v>0.60799999999999998</c:v>
                </c:pt>
                <c:pt idx="11">
                  <c:v>0.60680000000000001</c:v>
                </c:pt>
                <c:pt idx="12">
                  <c:v>0.60560000000000003</c:v>
                </c:pt>
                <c:pt idx="13">
                  <c:v>0.60440000000000005</c:v>
                </c:pt>
                <c:pt idx="14">
                  <c:v>0.60319999999999996</c:v>
                </c:pt>
                <c:pt idx="15">
                  <c:v>0.60199999999999998</c:v>
                </c:pt>
                <c:pt idx="16">
                  <c:v>0.6008</c:v>
                </c:pt>
                <c:pt idx="17">
                  <c:v>0.59960000000000002</c:v>
                </c:pt>
                <c:pt idx="18">
                  <c:v>0.59840000000000004</c:v>
                </c:pt>
                <c:pt idx="19">
                  <c:v>0.59719999999999995</c:v>
                </c:pt>
                <c:pt idx="20">
                  <c:v>0.59599999999999997</c:v>
                </c:pt>
                <c:pt idx="21">
                  <c:v>0.5948</c:v>
                </c:pt>
                <c:pt idx="22">
                  <c:v>0.59360000000000002</c:v>
                </c:pt>
                <c:pt idx="23">
                  <c:v>0.59240000000000004</c:v>
                </c:pt>
                <c:pt idx="24">
                  <c:v>0.59119999999999995</c:v>
                </c:pt>
                <c:pt idx="25">
                  <c:v>0.59</c:v>
                </c:pt>
                <c:pt idx="26">
                  <c:v>0.58879999999999999</c:v>
                </c:pt>
                <c:pt idx="27">
                  <c:v>0.59109999999999996</c:v>
                </c:pt>
                <c:pt idx="28">
                  <c:v>0.59409999999999996</c:v>
                </c:pt>
                <c:pt idx="29">
                  <c:v>0.61899999999999999</c:v>
                </c:pt>
                <c:pt idx="30">
                  <c:v>0.61599999999999999</c:v>
                </c:pt>
                <c:pt idx="31">
                  <c:v>0.61099999999999999</c:v>
                </c:pt>
                <c:pt idx="32">
                  <c:v>0.61099999999999999</c:v>
                </c:pt>
                <c:pt idx="33">
                  <c:v>0.61099999999999999</c:v>
                </c:pt>
                <c:pt idx="34">
                  <c:v>0.61299999999999999</c:v>
                </c:pt>
                <c:pt idx="35">
                  <c:v>0.61</c:v>
                </c:pt>
                <c:pt idx="36">
                  <c:v>0.60899999999999999</c:v>
                </c:pt>
                <c:pt idx="37">
                  <c:v>0.60899999999999999</c:v>
                </c:pt>
                <c:pt idx="38">
                  <c:v>0.60899999999999999</c:v>
                </c:pt>
                <c:pt idx="39">
                  <c:v>0.60899999999999999</c:v>
                </c:pt>
                <c:pt idx="40">
                  <c:v>0.60899999999999999</c:v>
                </c:pt>
                <c:pt idx="41">
                  <c:v>0.60899999999999999</c:v>
                </c:pt>
                <c:pt idx="42">
                  <c:v>0.60899999999999999</c:v>
                </c:pt>
                <c:pt idx="43">
                  <c:v>0.60899999999999999</c:v>
                </c:pt>
                <c:pt idx="44">
                  <c:v>0.60899999999999999</c:v>
                </c:pt>
                <c:pt idx="45">
                  <c:v>0.60799999999999998</c:v>
                </c:pt>
                <c:pt idx="46">
                  <c:v>0.60899999999999999</c:v>
                </c:pt>
                <c:pt idx="47">
                  <c:v>0.60799999999999998</c:v>
                </c:pt>
                <c:pt idx="48">
                  <c:v>0.60899999999999999</c:v>
                </c:pt>
                <c:pt idx="49">
                  <c:v>0.60799999999999998</c:v>
                </c:pt>
                <c:pt idx="50">
                  <c:v>0.60799999999999998</c:v>
                </c:pt>
                <c:pt idx="51">
                  <c:v>0.60799999999999998</c:v>
                </c:pt>
                <c:pt idx="52">
                  <c:v>0.60699999999999998</c:v>
                </c:pt>
                <c:pt idx="53">
                  <c:v>0.60699999999999998</c:v>
                </c:pt>
                <c:pt idx="54">
                  <c:v>0.60670000000000002</c:v>
                </c:pt>
                <c:pt idx="55">
                  <c:v>0.60640000000000005</c:v>
                </c:pt>
                <c:pt idx="56">
                  <c:v>0.60609999999999997</c:v>
                </c:pt>
                <c:pt idx="57">
                  <c:v>0.60580000000000001</c:v>
                </c:pt>
                <c:pt idx="58">
                  <c:v>0.60550000000000004</c:v>
                </c:pt>
                <c:pt idx="59">
                  <c:v>0.61</c:v>
                </c:pt>
                <c:pt idx="60">
                  <c:v>0.61199999999999999</c:v>
                </c:pt>
                <c:pt idx="61">
                  <c:v>0.61299999999999999</c:v>
                </c:pt>
                <c:pt idx="62">
                  <c:v>0.61399999999999999</c:v>
                </c:pt>
                <c:pt idx="63">
                  <c:v>0.61499999999999999</c:v>
                </c:pt>
                <c:pt idx="64">
                  <c:v>0.61499999999999999</c:v>
                </c:pt>
                <c:pt idx="65">
                  <c:v>0.61499999999999999</c:v>
                </c:pt>
                <c:pt idx="66">
                  <c:v>0.61499999999999999</c:v>
                </c:pt>
                <c:pt idx="67">
                  <c:v>0.61499999999999999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4-4959-AA93-6EDC50335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319599"/>
        <c:axId val="239320079"/>
      </c:scatterChart>
      <c:valAx>
        <c:axId val="239319599"/>
        <c:scaling>
          <c:orientation val="minMax"/>
          <c:max val="200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39320079"/>
        <c:crosses val="autoZero"/>
        <c:crossBetween val="midCat"/>
      </c:valAx>
      <c:valAx>
        <c:axId val="239320079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DSC (mW/mg)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39319599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'PP normal'!$Q$7:$Q$51</c:f>
              <c:numCache>
                <c:formatCode>General</c:formatCode>
                <c:ptCount val="45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43.3</c:v>
                </c:pt>
                <c:pt idx="12">
                  <c:v>46.6</c:v>
                </c:pt>
                <c:pt idx="13">
                  <c:v>50</c:v>
                </c:pt>
                <c:pt idx="14">
                  <c:v>60</c:v>
                </c:pt>
                <c:pt idx="15">
                  <c:v>70</c:v>
                </c:pt>
                <c:pt idx="16">
                  <c:v>80</c:v>
                </c:pt>
                <c:pt idx="17">
                  <c:v>90</c:v>
                </c:pt>
                <c:pt idx="18">
                  <c:v>100</c:v>
                </c:pt>
                <c:pt idx="19">
                  <c:v>110</c:v>
                </c:pt>
                <c:pt idx="20">
                  <c:v>120</c:v>
                </c:pt>
                <c:pt idx="21">
                  <c:v>130</c:v>
                </c:pt>
                <c:pt idx="22">
                  <c:v>140</c:v>
                </c:pt>
                <c:pt idx="23">
                  <c:v>145</c:v>
                </c:pt>
                <c:pt idx="24">
                  <c:v>150</c:v>
                </c:pt>
                <c:pt idx="25">
                  <c:v>152</c:v>
                </c:pt>
                <c:pt idx="26">
                  <c:v>154</c:v>
                </c:pt>
                <c:pt idx="27">
                  <c:v>154.69999999999999</c:v>
                </c:pt>
                <c:pt idx="28">
                  <c:v>156</c:v>
                </c:pt>
                <c:pt idx="29">
                  <c:v>158</c:v>
                </c:pt>
                <c:pt idx="30">
                  <c:v>160</c:v>
                </c:pt>
                <c:pt idx="31">
                  <c:v>162</c:v>
                </c:pt>
                <c:pt idx="32">
                  <c:v>165</c:v>
                </c:pt>
                <c:pt idx="33">
                  <c:v>167</c:v>
                </c:pt>
                <c:pt idx="34">
                  <c:v>169.3</c:v>
                </c:pt>
                <c:pt idx="35">
                  <c:v>171</c:v>
                </c:pt>
                <c:pt idx="36">
                  <c:v>172</c:v>
                </c:pt>
                <c:pt idx="37">
                  <c:v>173</c:v>
                </c:pt>
                <c:pt idx="38">
                  <c:v>174</c:v>
                </c:pt>
                <c:pt idx="39">
                  <c:v>175.3</c:v>
                </c:pt>
                <c:pt idx="40">
                  <c:v>176</c:v>
                </c:pt>
                <c:pt idx="41">
                  <c:v>178</c:v>
                </c:pt>
                <c:pt idx="42">
                  <c:v>180</c:v>
                </c:pt>
                <c:pt idx="43">
                  <c:v>185</c:v>
                </c:pt>
                <c:pt idx="44">
                  <c:v>190</c:v>
                </c:pt>
              </c:numCache>
            </c:numRef>
          </c:xVal>
          <c:yVal>
            <c:numRef>
              <c:f>'PP normal'!$R$7:$R$51</c:f>
              <c:numCache>
                <c:formatCode>General</c:formatCode>
                <c:ptCount val="45"/>
                <c:pt idx="0">
                  <c:v>0.36</c:v>
                </c:pt>
                <c:pt idx="1">
                  <c:v>0.48</c:v>
                </c:pt>
                <c:pt idx="2">
                  <c:v>0.56000000000000005</c:v>
                </c:pt>
                <c:pt idx="3">
                  <c:v>0.6</c:v>
                </c:pt>
                <c:pt idx="4">
                  <c:v>0.64</c:v>
                </c:pt>
                <c:pt idx="5">
                  <c:v>0.68</c:v>
                </c:pt>
                <c:pt idx="6">
                  <c:v>0.71</c:v>
                </c:pt>
                <c:pt idx="7">
                  <c:v>0.75</c:v>
                </c:pt>
                <c:pt idx="8">
                  <c:v>0.77</c:v>
                </c:pt>
                <c:pt idx="9">
                  <c:v>0.79</c:v>
                </c:pt>
                <c:pt idx="10">
                  <c:v>0.8</c:v>
                </c:pt>
                <c:pt idx="11">
                  <c:v>0.8</c:v>
                </c:pt>
                <c:pt idx="12">
                  <c:v>0.79</c:v>
                </c:pt>
                <c:pt idx="13">
                  <c:v>0.78</c:v>
                </c:pt>
                <c:pt idx="14">
                  <c:v>0.77</c:v>
                </c:pt>
                <c:pt idx="15">
                  <c:v>0.76</c:v>
                </c:pt>
                <c:pt idx="16">
                  <c:v>0.75</c:v>
                </c:pt>
                <c:pt idx="17">
                  <c:v>0.75</c:v>
                </c:pt>
                <c:pt idx="18">
                  <c:v>0.74</c:v>
                </c:pt>
                <c:pt idx="19">
                  <c:v>0.74</c:v>
                </c:pt>
                <c:pt idx="20">
                  <c:v>0.74</c:v>
                </c:pt>
                <c:pt idx="21">
                  <c:v>0.75</c:v>
                </c:pt>
                <c:pt idx="22">
                  <c:v>0.78</c:v>
                </c:pt>
                <c:pt idx="23">
                  <c:v>0.8</c:v>
                </c:pt>
                <c:pt idx="24">
                  <c:v>0.84</c:v>
                </c:pt>
                <c:pt idx="25">
                  <c:v>0.87</c:v>
                </c:pt>
                <c:pt idx="26">
                  <c:v>0.92</c:v>
                </c:pt>
                <c:pt idx="27">
                  <c:v>0.94</c:v>
                </c:pt>
                <c:pt idx="28">
                  <c:v>0.99</c:v>
                </c:pt>
                <c:pt idx="29">
                  <c:v>1.1499999999999999</c:v>
                </c:pt>
                <c:pt idx="30">
                  <c:v>1.3</c:v>
                </c:pt>
                <c:pt idx="31">
                  <c:v>1.45</c:v>
                </c:pt>
                <c:pt idx="32">
                  <c:v>1.65</c:v>
                </c:pt>
                <c:pt idx="33">
                  <c:v>1.8</c:v>
                </c:pt>
                <c:pt idx="34">
                  <c:v>1.9</c:v>
                </c:pt>
                <c:pt idx="35">
                  <c:v>1.7</c:v>
                </c:pt>
                <c:pt idx="36">
                  <c:v>1.4</c:v>
                </c:pt>
                <c:pt idx="37">
                  <c:v>0.9</c:v>
                </c:pt>
                <c:pt idx="38">
                  <c:v>0.81</c:v>
                </c:pt>
                <c:pt idx="39">
                  <c:v>0.77</c:v>
                </c:pt>
                <c:pt idx="40">
                  <c:v>0.75</c:v>
                </c:pt>
                <c:pt idx="41">
                  <c:v>0.74</c:v>
                </c:pt>
                <c:pt idx="42">
                  <c:v>0.74</c:v>
                </c:pt>
                <c:pt idx="43">
                  <c:v>0.74</c:v>
                </c:pt>
                <c:pt idx="44">
                  <c:v>0.74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06-4150-95DA-071FBA02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906447"/>
        <c:axId val="912906927"/>
      </c:scatterChart>
      <c:valAx>
        <c:axId val="912906447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2906927"/>
        <c:crosses val="autoZero"/>
        <c:crossBetween val="midCat"/>
        <c:majorUnit val="10"/>
      </c:valAx>
      <c:valAx>
        <c:axId val="91290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DSC (mW/mg)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12906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'PP estirado'!$R$2:$R$35</c:f>
              <c:numCache>
                <c:formatCode>General</c:formatCode>
                <c:ptCount val="34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36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44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  <c:pt idx="11">
                  <c:v>60</c:v>
                </c:pt>
                <c:pt idx="12">
                  <c:v>80</c:v>
                </c:pt>
                <c:pt idx="13">
                  <c:v>100</c:v>
                </c:pt>
                <c:pt idx="14">
                  <c:v>120</c:v>
                </c:pt>
                <c:pt idx="15">
                  <c:v>140</c:v>
                </c:pt>
                <c:pt idx="16">
                  <c:v>150</c:v>
                </c:pt>
                <c:pt idx="17">
                  <c:v>155</c:v>
                </c:pt>
                <c:pt idx="18">
                  <c:v>160</c:v>
                </c:pt>
                <c:pt idx="19">
                  <c:v>161.19999999999999</c:v>
                </c:pt>
                <c:pt idx="20">
                  <c:v>163</c:v>
                </c:pt>
                <c:pt idx="21">
                  <c:v>165</c:v>
                </c:pt>
                <c:pt idx="22">
                  <c:v>167</c:v>
                </c:pt>
                <c:pt idx="23">
                  <c:v>169</c:v>
                </c:pt>
                <c:pt idx="24">
                  <c:v>169.9</c:v>
                </c:pt>
                <c:pt idx="25">
                  <c:v>171</c:v>
                </c:pt>
                <c:pt idx="26">
                  <c:v>172</c:v>
                </c:pt>
                <c:pt idx="27">
                  <c:v>173</c:v>
                </c:pt>
                <c:pt idx="28">
                  <c:v>174</c:v>
                </c:pt>
                <c:pt idx="29">
                  <c:v>174.6</c:v>
                </c:pt>
                <c:pt idx="30">
                  <c:v>176</c:v>
                </c:pt>
                <c:pt idx="31">
                  <c:v>180</c:v>
                </c:pt>
                <c:pt idx="32">
                  <c:v>185</c:v>
                </c:pt>
                <c:pt idx="33">
                  <c:v>190</c:v>
                </c:pt>
              </c:numCache>
            </c:numRef>
          </c:xVal>
          <c:yVal>
            <c:numRef>
              <c:f>'PP estirado'!$S$2:$S$35</c:f>
              <c:numCache>
                <c:formatCode>General</c:formatCode>
                <c:ptCount val="34"/>
                <c:pt idx="0">
                  <c:v>0.39</c:v>
                </c:pt>
                <c:pt idx="1">
                  <c:v>0.54</c:v>
                </c:pt>
                <c:pt idx="2">
                  <c:v>0.69</c:v>
                </c:pt>
                <c:pt idx="3">
                  <c:v>0.81</c:v>
                </c:pt>
                <c:pt idx="4">
                  <c:v>0.9</c:v>
                </c:pt>
                <c:pt idx="5">
                  <c:v>0.95</c:v>
                </c:pt>
                <c:pt idx="6">
                  <c:v>0.95</c:v>
                </c:pt>
                <c:pt idx="7">
                  <c:v>0.94</c:v>
                </c:pt>
                <c:pt idx="8">
                  <c:v>0.94</c:v>
                </c:pt>
                <c:pt idx="9">
                  <c:v>0.93</c:v>
                </c:pt>
                <c:pt idx="10">
                  <c:v>0.92</c:v>
                </c:pt>
                <c:pt idx="11">
                  <c:v>0.91</c:v>
                </c:pt>
                <c:pt idx="12">
                  <c:v>0.88</c:v>
                </c:pt>
                <c:pt idx="13">
                  <c:v>0.88</c:v>
                </c:pt>
                <c:pt idx="14">
                  <c:v>0.88</c:v>
                </c:pt>
                <c:pt idx="15">
                  <c:v>0.88</c:v>
                </c:pt>
                <c:pt idx="16">
                  <c:v>1.1000000000000001</c:v>
                </c:pt>
                <c:pt idx="17">
                  <c:v>1.3</c:v>
                </c:pt>
                <c:pt idx="18">
                  <c:v>1.5</c:v>
                </c:pt>
                <c:pt idx="19">
                  <c:v>1.6</c:v>
                </c:pt>
                <c:pt idx="20">
                  <c:v>1.7</c:v>
                </c:pt>
                <c:pt idx="21">
                  <c:v>1.9</c:v>
                </c:pt>
                <c:pt idx="22">
                  <c:v>2.1</c:v>
                </c:pt>
                <c:pt idx="23">
                  <c:v>2.5</c:v>
                </c:pt>
                <c:pt idx="24">
                  <c:v>2.65</c:v>
                </c:pt>
                <c:pt idx="25">
                  <c:v>2.5</c:v>
                </c:pt>
                <c:pt idx="26">
                  <c:v>2</c:v>
                </c:pt>
                <c:pt idx="27">
                  <c:v>1.2</c:v>
                </c:pt>
                <c:pt idx="28">
                  <c:v>1</c:v>
                </c:pt>
                <c:pt idx="29">
                  <c:v>0.98</c:v>
                </c:pt>
                <c:pt idx="30">
                  <c:v>0.94</c:v>
                </c:pt>
                <c:pt idx="31">
                  <c:v>0.88</c:v>
                </c:pt>
                <c:pt idx="32">
                  <c:v>0.88</c:v>
                </c:pt>
                <c:pt idx="33">
                  <c:v>0.88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90-46E3-982A-2D848A892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820255"/>
        <c:axId val="1000819295"/>
      </c:scatterChart>
      <c:valAx>
        <c:axId val="1000820255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0819295"/>
        <c:crosses val="autoZero"/>
        <c:crossBetween val="midCat"/>
        <c:majorUnit val="10"/>
      </c:valAx>
      <c:valAx>
        <c:axId val="10008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/>
                    </a:solidFill>
                  </a:rPr>
                  <a:t>DSC (mW/mg)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00820255"/>
        <c:crossesAt val="0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3.png"/><Relationship Id="rId4" Type="http://schemas.openxmlformats.org/officeDocument/2006/relationships/customXml" Target="../ink/ink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3821</xdr:rowOff>
    </xdr:from>
    <xdr:to>
      <xdr:col>11</xdr:col>
      <xdr:colOff>581025</xdr:colOff>
      <xdr:row>26</xdr:row>
      <xdr:rowOff>32598</xdr:rowOff>
    </xdr:to>
    <xdr:pic>
      <xdr:nvPicPr>
        <xdr:cNvPr id="7" name="Imagem 2">
          <a:extLst>
            <a:ext uri="{FF2B5EF4-FFF2-40B4-BE49-F238E27FC236}">
              <a16:creationId xmlns:a16="http://schemas.microsoft.com/office/drawing/2014/main" id="{7371FEB8-22F8-74B8-63AE-805DAD060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4321"/>
          <a:ext cx="6981825" cy="4791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99623</xdr:colOff>
      <xdr:row>1</xdr:row>
      <xdr:rowOff>9526</xdr:rowOff>
    </xdr:from>
    <xdr:to>
      <xdr:col>24</xdr:col>
      <xdr:colOff>514350</xdr:colOff>
      <xdr:row>26</xdr:row>
      <xdr:rowOff>66676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AF05892C-B53D-D0D2-6B2C-F0378576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4423" y="200026"/>
          <a:ext cx="7120327" cy="481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94566</xdr:colOff>
      <xdr:row>30</xdr:row>
      <xdr:rowOff>8664</xdr:rowOff>
    </xdr:from>
    <xdr:to>
      <xdr:col>21</xdr:col>
      <xdr:colOff>341435</xdr:colOff>
      <xdr:row>48</xdr:row>
      <xdr:rowOff>160834</xdr:rowOff>
    </xdr:to>
    <xdr:graphicFrame macro="">
      <xdr:nvGraphicFramePr>
        <xdr:cNvPr id="13" name="Gráfico 10">
          <a:extLst>
            <a:ext uri="{FF2B5EF4-FFF2-40B4-BE49-F238E27FC236}">
              <a16:creationId xmlns:a16="http://schemas.microsoft.com/office/drawing/2014/main" id="{0A5A0CE7-9C8D-EA18-A654-EF78B341A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344344</xdr:colOff>
      <xdr:row>34</xdr:row>
      <xdr:rowOff>14810</xdr:rowOff>
    </xdr:from>
    <xdr:to>
      <xdr:col>17</xdr:col>
      <xdr:colOff>111079</xdr:colOff>
      <xdr:row>34</xdr:row>
      <xdr:rowOff>70350</xdr:rowOff>
    </xdr:to>
    <xdr:cxnSp macro="">
      <xdr:nvCxnSpPr>
        <xdr:cNvPr id="4" name="Conexão Reta 3">
          <a:extLst>
            <a:ext uri="{FF2B5EF4-FFF2-40B4-BE49-F238E27FC236}">
              <a16:creationId xmlns:a16="http://schemas.microsoft.com/office/drawing/2014/main" id="{6085AC97-7367-22C8-C7B1-4913E8C0FB18}"/>
            </a:ext>
          </a:extLst>
        </xdr:cNvPr>
        <xdr:cNvCxnSpPr/>
      </xdr:nvCxnSpPr>
      <xdr:spPr>
        <a:xfrm>
          <a:off x="11126385" y="6435160"/>
          <a:ext cx="440612" cy="5554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406400</xdr:colOff>
      <xdr:row>34</xdr:row>
      <xdr:rowOff>19050</xdr:rowOff>
    </xdr:from>
    <xdr:to>
      <xdr:col>16</xdr:col>
      <xdr:colOff>406400</xdr:colOff>
      <xdr:row>34</xdr:row>
      <xdr:rowOff>161925</xdr:rowOff>
    </xdr:to>
    <xdr:cxnSp macro="">
      <xdr:nvCxnSpPr>
        <xdr:cNvPr id="12" name="Conexão Reta Unidirecional 11">
          <a:extLst>
            <a:ext uri="{FF2B5EF4-FFF2-40B4-BE49-F238E27FC236}">
              <a16:creationId xmlns:a16="http://schemas.microsoft.com/office/drawing/2014/main" id="{9A8CC416-55B4-ADFB-C6F6-8C4C9AF78211}"/>
            </a:ext>
          </a:extLst>
        </xdr:cNvPr>
        <xdr:cNvCxnSpPr/>
      </xdr:nvCxnSpPr>
      <xdr:spPr>
        <a:xfrm>
          <a:off x="11176000" y="6496050"/>
          <a:ext cx="0" cy="142875"/>
        </a:xfrm>
        <a:prstGeom prst="straightConnector1">
          <a:avLst/>
        </a:prstGeom>
        <a:ln w="3175">
          <a:headEnd type="arrow" w="sm" len="sm"/>
          <a:tailEnd type="arrow" w="sm" len="sm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408400</xdr:colOff>
      <xdr:row>34</xdr:row>
      <xdr:rowOff>94800</xdr:rowOff>
    </xdr:from>
    <xdr:to>
      <xdr:col>16</xdr:col>
      <xdr:colOff>408760</xdr:colOff>
      <xdr:row>34</xdr:row>
      <xdr:rowOff>95160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8649645B-3563-BE76-3710-52A88F2690B4}"/>
                </a:ext>
              </a:extLst>
            </xdr14:cNvPr>
            <xdr14:cNvContentPartPr/>
          </xdr14:nvContentPartPr>
          <xdr14:nvPr macro=""/>
          <xdr14:xfrm>
            <a:off x="11178000" y="6571800"/>
            <a:ext cx="360" cy="360"/>
          </xdr14:xfrm>
        </xdr:contentPart>
      </mc:Choice>
      <mc:Fallback xmlns="">
        <xdr:pic>
          <xdr:nvPicPr>
            <xdr:cNvPr id="14" name="Tinta 13">
              <a:extLst>
                <a:ext uri="{FF2B5EF4-FFF2-40B4-BE49-F238E27FC236}">
                  <a16:creationId xmlns:a16="http://schemas.microsoft.com/office/drawing/2014/main" id="{8649645B-3563-BE76-3710-52A88F2690B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169000" y="65631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400050</xdr:colOff>
      <xdr:row>34</xdr:row>
      <xdr:rowOff>101600</xdr:rowOff>
    </xdr:from>
    <xdr:to>
      <xdr:col>16</xdr:col>
      <xdr:colOff>406400</xdr:colOff>
      <xdr:row>45</xdr:row>
      <xdr:rowOff>184150</xdr:rowOff>
    </xdr:to>
    <xdr:cxnSp macro="">
      <xdr:nvCxnSpPr>
        <xdr:cNvPr id="16" name="Conexão Reta 15">
          <a:extLst>
            <a:ext uri="{FF2B5EF4-FFF2-40B4-BE49-F238E27FC236}">
              <a16:creationId xmlns:a16="http://schemas.microsoft.com/office/drawing/2014/main" id="{1DE3A61B-1AF7-9BD0-F26D-C844021A0838}"/>
            </a:ext>
          </a:extLst>
        </xdr:cNvPr>
        <xdr:cNvCxnSpPr/>
      </xdr:nvCxnSpPr>
      <xdr:spPr>
        <a:xfrm flipH="1">
          <a:off x="11169650" y="6578600"/>
          <a:ext cx="6350" cy="2178050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123209</xdr:colOff>
      <xdr:row>30</xdr:row>
      <xdr:rowOff>180075</xdr:rowOff>
    </xdr:from>
    <xdr:to>
      <xdr:col>14</xdr:col>
      <xdr:colOff>123209</xdr:colOff>
      <xdr:row>32</xdr:row>
      <xdr:rowOff>13985</xdr:rowOff>
    </xdr:to>
    <xdr:cxnSp macro="">
      <xdr:nvCxnSpPr>
        <xdr:cNvPr id="17" name="Conexão reta unidirecional 37">
          <a:extLst>
            <a:ext uri="{FF2B5EF4-FFF2-40B4-BE49-F238E27FC236}">
              <a16:creationId xmlns:a16="http://schemas.microsoft.com/office/drawing/2014/main" id="{692156CB-80C1-D345-B564-2AF9AD4624B1}"/>
            </a:ext>
          </a:extLst>
        </xdr:cNvPr>
        <xdr:cNvCxnSpPr/>
      </xdr:nvCxnSpPr>
      <xdr:spPr>
        <a:xfrm>
          <a:off x="9543955" y="5866642"/>
          <a:ext cx="0" cy="2130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132687</xdr:colOff>
      <xdr:row>30</xdr:row>
      <xdr:rowOff>151643</xdr:rowOff>
    </xdr:from>
    <xdr:to>
      <xdr:col>15</xdr:col>
      <xdr:colOff>345157</xdr:colOff>
      <xdr:row>32</xdr:row>
      <xdr:rowOff>179535</xdr:rowOff>
    </xdr:to>
    <xdr:sp macro="" textlink="">
      <xdr:nvSpPr>
        <xdr:cNvPr id="18" name="CaixaDeTexto 1">
          <a:extLst>
            <a:ext uri="{FF2B5EF4-FFF2-40B4-BE49-F238E27FC236}">
              <a16:creationId xmlns:a16="http://schemas.microsoft.com/office/drawing/2014/main" id="{BDB8038A-30EC-A64E-A093-39969DC2B29E}"/>
            </a:ext>
          </a:extLst>
        </xdr:cNvPr>
        <xdr:cNvSpPr txBox="1"/>
      </xdr:nvSpPr>
      <xdr:spPr>
        <a:xfrm>
          <a:off x="9553433" y="5838210"/>
          <a:ext cx="885381" cy="40699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pt-PT" sz="1100" kern="1200"/>
            <a:t>exo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0.38581</cdr:x>
      <cdr:y>0.24884</cdr:y>
    </cdr:from>
    <cdr:to>
      <cdr:x>0.42915</cdr:x>
      <cdr:y>0.25614</cdr:y>
    </cdr:to>
    <cdr:cxnSp macro="">
      <cdr:nvCxnSpPr>
        <cdr:cNvPr id="3" name="Conexão Reta 2">
          <a:extLst xmlns:a="http://schemas.openxmlformats.org/drawingml/2006/main">
            <a:ext uri="{FF2B5EF4-FFF2-40B4-BE49-F238E27FC236}">
              <a16:creationId xmlns:a16="http://schemas.microsoft.com/office/drawing/2014/main" id="{EC5481C0-711B-9BD5-FBC5-60F49AE630A4}"/>
            </a:ext>
          </a:extLst>
        </cdr:cNvPr>
        <cdr:cNvCxnSpPr/>
      </cdr:nvCxnSpPr>
      <cdr:spPr>
        <a:xfrm xmlns:a="http://schemas.openxmlformats.org/drawingml/2006/main">
          <a:off x="2175143" y="883668"/>
          <a:ext cx="244373" cy="25918"/>
        </a:xfrm>
        <a:prstGeom xmlns:a="http://schemas.openxmlformats.org/drawingml/2006/main" prst="line">
          <a:avLst/>
        </a:prstGeom>
        <a:ln xmlns:a="http://schemas.openxmlformats.org/drawingml/2006/main" w="9525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0.40548</cdr:x>
      <cdr:y>0.21657</cdr:y>
    </cdr:from>
    <cdr:to>
      <cdr:x>0.42295</cdr:x>
      <cdr:y>0.2538</cdr:y>
    </cdr:to>
    <cdr:cxnSp macro="">
      <cdr:nvCxnSpPr>
        <cdr:cNvPr id="14" name="Conexão Reta 13">
          <a:extLst xmlns:a="http://schemas.openxmlformats.org/drawingml/2006/main">
            <a:ext uri="{FF2B5EF4-FFF2-40B4-BE49-F238E27FC236}">
              <a16:creationId xmlns:a16="http://schemas.microsoft.com/office/drawing/2014/main" id="{36A048DD-AFBA-52A8-715A-9752F4F5ADFD}"/>
            </a:ext>
          </a:extLst>
        </cdr:cNvPr>
        <cdr:cNvCxnSpPr/>
      </cdr:nvCxnSpPr>
      <cdr:spPr>
        <a:xfrm xmlns:a="http://schemas.openxmlformats.org/drawingml/2006/main" flipV="1">
          <a:off x="2283509" y="775561"/>
          <a:ext cx="98425" cy="133350"/>
        </a:xfrm>
        <a:prstGeom xmlns:a="http://schemas.openxmlformats.org/drawingml/2006/main" prst="line">
          <a:avLst/>
        </a:prstGeom>
        <a:ln xmlns:a="http://schemas.openxmlformats.org/drawingml/2006/main" w="3175"/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7285</xdr:colOff>
      <xdr:row>0</xdr:row>
      <xdr:rowOff>31377</xdr:rowOff>
    </xdr:from>
    <xdr:to>
      <xdr:col>11</xdr:col>
      <xdr:colOff>293035</xdr:colOff>
      <xdr:row>22</xdr:row>
      <xdr:rowOff>66691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8D36E4-8CFA-3CCB-BDD8-9CB9293A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5" y="31377"/>
          <a:ext cx="6942044" cy="4797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106523</xdr:colOff>
      <xdr:row>14</xdr:row>
      <xdr:rowOff>81299</xdr:rowOff>
    </xdr:from>
    <xdr:to>
      <xdr:col>27</xdr:col>
      <xdr:colOff>342116</xdr:colOff>
      <xdr:row>32</xdr:row>
      <xdr:rowOff>187800</xdr:rowOff>
    </xdr:to>
    <xdr:graphicFrame macro="">
      <xdr:nvGraphicFramePr>
        <xdr:cNvPr id="22" name="Gráfico 31">
          <a:extLst>
            <a:ext uri="{FF2B5EF4-FFF2-40B4-BE49-F238E27FC236}">
              <a16:creationId xmlns:a16="http://schemas.microsoft.com/office/drawing/2014/main" id="{10315CE7-75D2-C586-3FB0-D2EAE05CD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241789</xdr:colOff>
      <xdr:row>15</xdr:row>
      <xdr:rowOff>33131</xdr:rowOff>
    </xdr:from>
    <xdr:to>
      <xdr:col>21</xdr:col>
      <xdr:colOff>455769</xdr:colOff>
      <xdr:row>17</xdr:row>
      <xdr:rowOff>51848</xdr:rowOff>
    </xdr:to>
    <xdr:sp macro="" textlink="">
      <xdr:nvSpPr>
        <xdr:cNvPr id="23" name="CaixaDeTexto 1">
          <a:extLst>
            <a:ext uri="{FF2B5EF4-FFF2-40B4-BE49-F238E27FC236}">
              <a16:creationId xmlns:a16="http://schemas.microsoft.com/office/drawing/2014/main" id="{ED864105-5C9C-E7AC-057D-93F9F021A4EB}"/>
            </a:ext>
          </a:extLst>
        </xdr:cNvPr>
        <xdr:cNvSpPr txBox="1"/>
      </xdr:nvSpPr>
      <xdr:spPr>
        <a:xfrm>
          <a:off x="18485827" y="3462131"/>
          <a:ext cx="822115" cy="399717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pt-PT" sz="1100" kern="1200"/>
            <a:t>exo</a:t>
          </a:r>
        </a:p>
      </xdr:txBody>
    </xdr:sp>
    <xdr:clientData/>
  </xdr:twoCellAnchor>
  <xdr:twoCellAnchor>
    <xdr:from>
      <xdr:col>20</xdr:col>
      <xdr:colOff>205521</xdr:colOff>
      <xdr:row>15</xdr:row>
      <xdr:rowOff>51753</xdr:rowOff>
    </xdr:from>
    <xdr:to>
      <xdr:col>20</xdr:col>
      <xdr:colOff>205521</xdr:colOff>
      <xdr:row>16</xdr:row>
      <xdr:rowOff>70628</xdr:rowOff>
    </xdr:to>
    <xdr:cxnSp macro="">
      <xdr:nvCxnSpPr>
        <xdr:cNvPr id="26" name="Conexão reta unidirecional 37">
          <a:extLst>
            <a:ext uri="{FF2B5EF4-FFF2-40B4-BE49-F238E27FC236}">
              <a16:creationId xmlns:a16="http://schemas.microsoft.com/office/drawing/2014/main" id="{23BAEF19-CF00-0730-1D2C-633E86BEF01A}"/>
            </a:ext>
          </a:extLst>
        </xdr:cNvPr>
        <xdr:cNvCxnSpPr/>
      </xdr:nvCxnSpPr>
      <xdr:spPr>
        <a:xfrm>
          <a:off x="18449559" y="3480753"/>
          <a:ext cx="0" cy="209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137516</xdr:colOff>
      <xdr:row>15</xdr:row>
      <xdr:rowOff>184145</xdr:rowOff>
    </xdr:from>
    <xdr:to>
      <xdr:col>25</xdr:col>
      <xdr:colOff>570897</xdr:colOff>
      <xdr:row>24</xdr:row>
      <xdr:rowOff>105159</xdr:rowOff>
    </xdr:to>
    <xdr:cxnSp macro="">
      <xdr:nvCxnSpPr>
        <xdr:cNvPr id="55" name="Conexão reta 40">
          <a:extLst>
            <a:ext uri="{FF2B5EF4-FFF2-40B4-BE49-F238E27FC236}">
              <a16:creationId xmlns:a16="http://schemas.microsoft.com/office/drawing/2014/main" id="{422F2B6D-F433-F292-0906-BEF9B2498046}"/>
            </a:ext>
          </a:extLst>
        </xdr:cNvPr>
        <xdr:cNvCxnSpPr/>
      </xdr:nvCxnSpPr>
      <xdr:spPr>
        <a:xfrm flipV="1">
          <a:off x="17407898" y="3508795"/>
          <a:ext cx="433381" cy="1668275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593533</xdr:colOff>
      <xdr:row>15</xdr:row>
      <xdr:rowOff>174460</xdr:rowOff>
    </xdr:from>
    <xdr:to>
      <xdr:col>26</xdr:col>
      <xdr:colOff>48535</xdr:colOff>
      <xdr:row>24</xdr:row>
      <xdr:rowOff>113248</xdr:rowOff>
    </xdr:to>
    <xdr:cxnSp macro="">
      <xdr:nvCxnSpPr>
        <xdr:cNvPr id="54" name="Conexão reta 42">
          <a:extLst>
            <a:ext uri="{FF2B5EF4-FFF2-40B4-BE49-F238E27FC236}">
              <a16:creationId xmlns:a16="http://schemas.microsoft.com/office/drawing/2014/main" id="{9933BEBE-CCB5-E792-6C42-F91E81E92631}"/>
            </a:ext>
          </a:extLst>
        </xdr:cNvPr>
        <xdr:cNvCxnSpPr/>
      </xdr:nvCxnSpPr>
      <xdr:spPr>
        <a:xfrm flipH="1" flipV="1">
          <a:off x="17863915" y="3499110"/>
          <a:ext cx="126403" cy="1686049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260328</xdr:colOff>
      <xdr:row>24</xdr:row>
      <xdr:rowOff>106269</xdr:rowOff>
    </xdr:from>
    <xdr:to>
      <xdr:col>26</xdr:col>
      <xdr:colOff>124386</xdr:colOff>
      <xdr:row>24</xdr:row>
      <xdr:rowOff>108844</xdr:rowOff>
    </xdr:to>
    <xdr:cxnSp macro="">
      <xdr:nvCxnSpPr>
        <xdr:cNvPr id="57" name="Conexão reta 49">
          <a:extLst>
            <a:ext uri="{FF2B5EF4-FFF2-40B4-BE49-F238E27FC236}">
              <a16:creationId xmlns:a16="http://schemas.microsoft.com/office/drawing/2014/main" id="{9B817076-9943-F4EB-89F5-E352BD11D243}"/>
            </a:ext>
          </a:extLst>
        </xdr:cNvPr>
        <xdr:cNvCxnSpPr/>
      </xdr:nvCxnSpPr>
      <xdr:spPr>
        <a:xfrm flipH="1" flipV="1">
          <a:off x="16187908" y="5178180"/>
          <a:ext cx="1878261" cy="2575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260696</xdr:colOff>
      <xdr:row>24</xdr:row>
      <xdr:rowOff>64380</xdr:rowOff>
    </xdr:from>
    <xdr:to>
      <xdr:col>23</xdr:col>
      <xdr:colOff>260696</xdr:colOff>
      <xdr:row>24</xdr:row>
      <xdr:rowOff>163270</xdr:rowOff>
    </xdr:to>
    <xdr:cxnSp macro="">
      <xdr:nvCxnSpPr>
        <xdr:cNvPr id="64" name="Conexão reta 57">
          <a:extLst>
            <a:ext uri="{FF2B5EF4-FFF2-40B4-BE49-F238E27FC236}">
              <a16:creationId xmlns:a16="http://schemas.microsoft.com/office/drawing/2014/main" id="{D08036E7-A4BB-8BA9-8124-683906BE9B3A}"/>
            </a:ext>
          </a:extLst>
        </xdr:cNvPr>
        <xdr:cNvCxnSpPr/>
      </xdr:nvCxnSpPr>
      <xdr:spPr>
        <a:xfrm>
          <a:off x="16188276" y="5136291"/>
          <a:ext cx="0" cy="9889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138507</xdr:colOff>
      <xdr:row>24</xdr:row>
      <xdr:rowOff>43568</xdr:rowOff>
    </xdr:from>
    <xdr:to>
      <xdr:col>26</xdr:col>
      <xdr:colOff>138507</xdr:colOff>
      <xdr:row>24</xdr:row>
      <xdr:rowOff>142458</xdr:rowOff>
    </xdr:to>
    <xdr:cxnSp macro="">
      <xdr:nvCxnSpPr>
        <xdr:cNvPr id="63" name="Conexão reta 58">
          <a:extLst>
            <a:ext uri="{FF2B5EF4-FFF2-40B4-BE49-F238E27FC236}">
              <a16:creationId xmlns:a16="http://schemas.microsoft.com/office/drawing/2014/main" id="{F7731801-379C-4DEE-96FE-0019C08CA00E}"/>
            </a:ext>
          </a:extLst>
        </xdr:cNvPr>
        <xdr:cNvCxnSpPr/>
      </xdr:nvCxnSpPr>
      <xdr:spPr>
        <a:xfrm>
          <a:off x="18080290" y="5115479"/>
          <a:ext cx="0" cy="9889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586366</xdr:colOff>
      <xdr:row>15</xdr:row>
      <xdr:rowOff>112549</xdr:rowOff>
    </xdr:from>
    <xdr:to>
      <xdr:col>25</xdr:col>
      <xdr:colOff>591012</xdr:colOff>
      <xdr:row>16</xdr:row>
      <xdr:rowOff>70732</xdr:rowOff>
    </xdr:to>
    <xdr:cxnSp macro="">
      <xdr:nvCxnSpPr>
        <xdr:cNvPr id="77" name="Conexão reta 63">
          <a:extLst>
            <a:ext uri="{FF2B5EF4-FFF2-40B4-BE49-F238E27FC236}">
              <a16:creationId xmlns:a16="http://schemas.microsoft.com/office/drawing/2014/main" id="{C838D0FA-D4BC-574C-0FF4-2F7CF9C8CCE8}"/>
            </a:ext>
          </a:extLst>
        </xdr:cNvPr>
        <xdr:cNvCxnSpPr/>
      </xdr:nvCxnSpPr>
      <xdr:spPr>
        <a:xfrm flipH="1">
          <a:off x="17856748" y="3437199"/>
          <a:ext cx="4646" cy="152323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517876</xdr:colOff>
      <xdr:row>15</xdr:row>
      <xdr:rowOff>179835</xdr:rowOff>
    </xdr:from>
    <xdr:to>
      <xdr:col>25</xdr:col>
      <xdr:colOff>652620</xdr:colOff>
      <xdr:row>15</xdr:row>
      <xdr:rowOff>179835</xdr:rowOff>
    </xdr:to>
    <xdr:cxnSp macro="">
      <xdr:nvCxnSpPr>
        <xdr:cNvPr id="82" name="Conexão reta 69">
          <a:extLst>
            <a:ext uri="{FF2B5EF4-FFF2-40B4-BE49-F238E27FC236}">
              <a16:creationId xmlns:a16="http://schemas.microsoft.com/office/drawing/2014/main" id="{E43E00B6-B8F4-56A4-BB27-696EE66C7B43}"/>
            </a:ext>
          </a:extLst>
        </xdr:cNvPr>
        <xdr:cNvCxnSpPr/>
      </xdr:nvCxnSpPr>
      <xdr:spPr>
        <a:xfrm>
          <a:off x="17788258" y="3504485"/>
          <a:ext cx="134744" cy="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133350</xdr:rowOff>
    </xdr:from>
    <xdr:to>
      <xdr:col>13</xdr:col>
      <xdr:colOff>133350</xdr:colOff>
      <xdr:row>29</xdr:row>
      <xdr:rowOff>21097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B13331-4782-8914-22A8-216A2272F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3350"/>
          <a:ext cx="7886700" cy="5412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378952</xdr:colOff>
      <xdr:row>3</xdr:row>
      <xdr:rowOff>174113</xdr:rowOff>
    </xdr:from>
    <xdr:to>
      <xdr:col>27</xdr:col>
      <xdr:colOff>608568</xdr:colOff>
      <xdr:row>22</xdr:row>
      <xdr:rowOff>157349</xdr:rowOff>
    </xdr:to>
    <xdr:graphicFrame macro="">
      <xdr:nvGraphicFramePr>
        <xdr:cNvPr id="4" name="Gráfico 13">
          <a:extLst>
            <a:ext uri="{FF2B5EF4-FFF2-40B4-BE49-F238E27FC236}">
              <a16:creationId xmlns:a16="http://schemas.microsoft.com/office/drawing/2014/main" id="{80ED7155-E6E3-0928-F165-75FEFC7C15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491611</xdr:colOff>
      <xdr:row>4</xdr:row>
      <xdr:rowOff>112662</xdr:rowOff>
    </xdr:from>
    <xdr:to>
      <xdr:col>20</xdr:col>
      <xdr:colOff>491611</xdr:colOff>
      <xdr:row>5</xdr:row>
      <xdr:rowOff>127440</xdr:rowOff>
    </xdr:to>
    <xdr:cxnSp macro="">
      <xdr:nvCxnSpPr>
        <xdr:cNvPr id="5" name="Conexão reta unidirecional 37">
          <a:extLst>
            <a:ext uri="{FF2B5EF4-FFF2-40B4-BE49-F238E27FC236}">
              <a16:creationId xmlns:a16="http://schemas.microsoft.com/office/drawing/2014/main" id="{B54CB193-7E74-407C-885B-48569132DD76}"/>
            </a:ext>
          </a:extLst>
        </xdr:cNvPr>
        <xdr:cNvCxnSpPr/>
      </xdr:nvCxnSpPr>
      <xdr:spPr>
        <a:xfrm>
          <a:off x="12781934" y="891049"/>
          <a:ext cx="0" cy="2093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190499</xdr:colOff>
      <xdr:row>15</xdr:row>
      <xdr:rowOff>17972</xdr:rowOff>
    </xdr:from>
    <xdr:to>
      <xdr:col>27</xdr:col>
      <xdr:colOff>71886</xdr:colOff>
      <xdr:row>15</xdr:row>
      <xdr:rowOff>17972</xdr:rowOff>
    </xdr:to>
    <xdr:cxnSp macro="">
      <xdr:nvCxnSpPr>
        <xdr:cNvPr id="25" name="Conexão reta 49">
          <a:extLst>
            <a:ext uri="{FF2B5EF4-FFF2-40B4-BE49-F238E27FC236}">
              <a16:creationId xmlns:a16="http://schemas.microsoft.com/office/drawing/2014/main" id="{62DEAC20-8DB6-4EED-9993-0EF0A827CCDC}"/>
            </a:ext>
          </a:extLst>
        </xdr:cNvPr>
        <xdr:cNvCxnSpPr/>
      </xdr:nvCxnSpPr>
      <xdr:spPr>
        <a:xfrm flipH="1">
          <a:off x="14855405" y="2875472"/>
          <a:ext cx="1714500" cy="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162984</xdr:colOff>
      <xdr:row>5</xdr:row>
      <xdr:rowOff>82422</xdr:rowOff>
    </xdr:from>
    <xdr:to>
      <xdr:col>26</xdr:col>
      <xdr:colOff>297728</xdr:colOff>
      <xdr:row>5</xdr:row>
      <xdr:rowOff>82422</xdr:rowOff>
    </xdr:to>
    <xdr:cxnSp macro="">
      <xdr:nvCxnSpPr>
        <xdr:cNvPr id="68" name="Conexão reta 69">
          <a:extLst>
            <a:ext uri="{FF2B5EF4-FFF2-40B4-BE49-F238E27FC236}">
              <a16:creationId xmlns:a16="http://schemas.microsoft.com/office/drawing/2014/main" id="{93FD86A6-8885-457E-9549-C4BE33B5B49F}"/>
            </a:ext>
          </a:extLst>
        </xdr:cNvPr>
        <xdr:cNvCxnSpPr/>
      </xdr:nvCxnSpPr>
      <xdr:spPr>
        <a:xfrm>
          <a:off x="16049965" y="1034922"/>
          <a:ext cx="134744" cy="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17972</xdr:colOff>
      <xdr:row>5</xdr:row>
      <xdr:rowOff>93453</xdr:rowOff>
    </xdr:from>
    <xdr:to>
      <xdr:col>26</xdr:col>
      <xdr:colOff>222849</xdr:colOff>
      <xdr:row>15</xdr:row>
      <xdr:rowOff>21566</xdr:rowOff>
    </xdr:to>
    <xdr:cxnSp macro="">
      <xdr:nvCxnSpPr>
        <xdr:cNvPr id="7" name="Conexão reta 40">
          <a:extLst>
            <a:ext uri="{FF2B5EF4-FFF2-40B4-BE49-F238E27FC236}">
              <a16:creationId xmlns:a16="http://schemas.microsoft.com/office/drawing/2014/main" id="{45256F99-6348-4082-BB66-01D4E8844F55}"/>
            </a:ext>
          </a:extLst>
        </xdr:cNvPr>
        <xdr:cNvCxnSpPr/>
      </xdr:nvCxnSpPr>
      <xdr:spPr>
        <a:xfrm flipV="1">
          <a:off x="15904953" y="1045953"/>
          <a:ext cx="204877" cy="1833113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226444</xdr:colOff>
      <xdr:row>5</xdr:row>
      <xdr:rowOff>71887</xdr:rowOff>
    </xdr:from>
    <xdr:to>
      <xdr:col>26</xdr:col>
      <xdr:colOff>330679</xdr:colOff>
      <xdr:row>15</xdr:row>
      <xdr:rowOff>14377</xdr:rowOff>
    </xdr:to>
    <xdr:cxnSp macro="">
      <xdr:nvCxnSpPr>
        <xdr:cNvPr id="10" name="Conexão reta 42">
          <a:extLst>
            <a:ext uri="{FF2B5EF4-FFF2-40B4-BE49-F238E27FC236}">
              <a16:creationId xmlns:a16="http://schemas.microsoft.com/office/drawing/2014/main" id="{6E76CAFB-90AB-4012-80E4-BF9479DDBC17}"/>
            </a:ext>
          </a:extLst>
        </xdr:cNvPr>
        <xdr:cNvCxnSpPr/>
      </xdr:nvCxnSpPr>
      <xdr:spPr>
        <a:xfrm flipH="1" flipV="1">
          <a:off x="16113425" y="1024387"/>
          <a:ext cx="104235" cy="1847490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226444</xdr:colOff>
      <xdr:row>5</xdr:row>
      <xdr:rowOff>32349</xdr:rowOff>
    </xdr:from>
    <xdr:to>
      <xdr:col>26</xdr:col>
      <xdr:colOff>226444</xdr:colOff>
      <xdr:row>5</xdr:row>
      <xdr:rowOff>125802</xdr:rowOff>
    </xdr:to>
    <xdr:cxnSp macro="">
      <xdr:nvCxnSpPr>
        <xdr:cNvPr id="12" name="Conexão reta 86">
          <a:extLst>
            <a:ext uri="{FF2B5EF4-FFF2-40B4-BE49-F238E27FC236}">
              <a16:creationId xmlns:a16="http://schemas.microsoft.com/office/drawing/2014/main" id="{B168D062-CDD3-09EC-274F-985381DCFBC7}"/>
            </a:ext>
          </a:extLst>
        </xdr:cNvPr>
        <xdr:cNvCxnSpPr/>
      </xdr:nvCxnSpPr>
      <xdr:spPr>
        <a:xfrm flipV="1">
          <a:off x="16113425" y="984849"/>
          <a:ext cx="0" cy="93453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170699</xdr:colOff>
      <xdr:row>14</xdr:row>
      <xdr:rowOff>150215</xdr:rowOff>
    </xdr:from>
    <xdr:to>
      <xdr:col>24</xdr:col>
      <xdr:colOff>170699</xdr:colOff>
      <xdr:row>15</xdr:row>
      <xdr:rowOff>95591</xdr:rowOff>
    </xdr:to>
    <xdr:cxnSp macro="">
      <xdr:nvCxnSpPr>
        <xdr:cNvPr id="6" name="Conexão Reta 5">
          <a:extLst>
            <a:ext uri="{FF2B5EF4-FFF2-40B4-BE49-F238E27FC236}">
              <a16:creationId xmlns:a16="http://schemas.microsoft.com/office/drawing/2014/main" id="{D95A83F7-9010-2301-02D9-9EDF1914A243}"/>
            </a:ext>
          </a:extLst>
        </xdr:cNvPr>
        <xdr:cNvCxnSpPr/>
      </xdr:nvCxnSpPr>
      <xdr:spPr>
        <a:xfrm>
          <a:off x="16393925" y="2826774"/>
          <a:ext cx="0" cy="136559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568907</xdr:colOff>
      <xdr:row>14</xdr:row>
      <xdr:rowOff>145571</xdr:rowOff>
    </xdr:from>
    <xdr:to>
      <xdr:col>26</xdr:col>
      <xdr:colOff>568907</xdr:colOff>
      <xdr:row>15</xdr:row>
      <xdr:rowOff>90947</xdr:rowOff>
    </xdr:to>
    <xdr:cxnSp macro="">
      <xdr:nvCxnSpPr>
        <xdr:cNvPr id="8" name="Conexão Reta 7">
          <a:extLst>
            <a:ext uri="{FF2B5EF4-FFF2-40B4-BE49-F238E27FC236}">
              <a16:creationId xmlns:a16="http://schemas.microsoft.com/office/drawing/2014/main" id="{C3C328A0-84BE-294A-83C8-81E16980D8C2}"/>
            </a:ext>
          </a:extLst>
        </xdr:cNvPr>
        <xdr:cNvCxnSpPr/>
      </xdr:nvCxnSpPr>
      <xdr:spPr>
        <a:xfrm>
          <a:off x="18144068" y="2822130"/>
          <a:ext cx="0" cy="136559"/>
        </a:xfrm>
        <a:prstGeom prst="line">
          <a:avLst/>
        </a:prstGeom>
        <a:ln w="952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0.15022</cdr:x>
      <cdr:y>0.03409</cdr:y>
    </cdr:from>
    <cdr:to>
      <cdr:x>0.30583</cdr:x>
      <cdr:y>0.17682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ED864105-5C9C-E7AC-057D-93F9F021A4EB}"/>
            </a:ext>
          </a:extLst>
        </cdr:cNvPr>
        <cdr:cNvSpPr txBox="1"/>
      </cdr:nvSpPr>
      <cdr:spPr>
        <a:xfrm xmlns:a="http://schemas.openxmlformats.org/drawingml/2006/main">
          <a:off x="772372" y="125565"/>
          <a:ext cx="800062" cy="5257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PT" sz="1100" kern="1200"/>
            <a:t>exo</a:t>
          </a:r>
        </a:p>
      </cdr:txBody>
    </cdr:sp>
  </cdr:relSizeAnchor>
  <cdr:relSizeAnchor xmlns:cdr="http://schemas.openxmlformats.org/drawingml/2006/chartDrawing">
    <cdr:from>
      <cdr:x>1</cdr:x>
      <cdr:y>0.97255</cdr:y>
    </cdr:from>
    <cdr:to>
      <cdr:x>1</cdr:x>
      <cdr:y>1</cdr:y>
    </cdr:to>
    <cdr:cxnSp macro="">
      <cdr:nvCxnSpPr>
        <cdr:cNvPr id="2" name="Conexão reta 57">
          <a:extLst xmlns:a="http://schemas.openxmlformats.org/drawingml/2006/main">
            <a:ext uri="{FF2B5EF4-FFF2-40B4-BE49-F238E27FC236}">
              <a16:creationId xmlns:a16="http://schemas.microsoft.com/office/drawing/2014/main" id="{D08036E7-A4BB-8BA9-8124-683906BE9B3A}"/>
            </a:ext>
          </a:extLst>
        </cdr:cNvPr>
        <cdr:cNvCxnSpPr/>
      </cdr:nvCxnSpPr>
      <cdr:spPr>
        <a:xfrm xmlns:a="http://schemas.openxmlformats.org/drawingml/2006/main">
          <a:off x="16239076" y="5187091"/>
          <a:ext cx="0" cy="98890"/>
        </a:xfrm>
        <a:prstGeom xmlns:a="http://schemas.openxmlformats.org/drawingml/2006/main" prst="line">
          <a:avLst/>
        </a:prstGeom>
        <a:ln xmlns:a="http://schemas.openxmlformats.org/drawingml/2006/main" w="9525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514350</xdr:colOff>
      <xdr:row>7</xdr:row>
      <xdr:rowOff>38099</xdr:rowOff>
    </xdr:from>
    <xdr:to>
      <xdr:col>14</xdr:col>
      <xdr:colOff>675942</xdr:colOff>
      <xdr:row>11</xdr:row>
      <xdr:rowOff>85854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A2DC3BE-E3A7-658B-6175-15DD4BD14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1371599"/>
          <a:ext cx="5246883" cy="80975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4-25T16:47:29.5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6D56-BD6E-4BB3-A806-22AE6A151145}">
  <dimension ref="AA7:AB74"/>
  <sheetViews>
    <sheetView tabSelected="1" topLeftCell="I22" zoomScale="125" workbookViewId="0">
      <selection activeCell="L38" sqref="L38"/>
    </sheetView>
  </sheetViews>
  <sheetFormatPr defaultColWidth="8.85546875" defaultRowHeight="15"/>
  <sheetData>
    <row r="7" spans="27:28">
      <c r="AA7">
        <v>30</v>
      </c>
      <c r="AB7">
        <v>0.28000000000000003</v>
      </c>
    </row>
    <row r="8" spans="27:28">
      <c r="AA8">
        <v>32</v>
      </c>
      <c r="AB8">
        <v>0.4138</v>
      </c>
    </row>
    <row r="9" spans="27:28">
      <c r="AA9">
        <v>34</v>
      </c>
      <c r="AB9">
        <v>0.49490000000000001</v>
      </c>
    </row>
    <row r="10" spans="27:28">
      <c r="AA10">
        <v>36</v>
      </c>
      <c r="AB10">
        <v>0.54410000000000003</v>
      </c>
    </row>
    <row r="11" spans="27:28">
      <c r="AA11">
        <v>38</v>
      </c>
      <c r="AB11">
        <v>0.57399999999999995</v>
      </c>
    </row>
    <row r="12" spans="27:28">
      <c r="AA12">
        <v>40</v>
      </c>
      <c r="AB12">
        <v>0.61399999999999999</v>
      </c>
    </row>
    <row r="13" spans="27:28">
      <c r="AA13">
        <v>42</v>
      </c>
      <c r="AB13">
        <v>0.61280000000000001</v>
      </c>
    </row>
    <row r="14" spans="27:28">
      <c r="AA14">
        <v>44</v>
      </c>
      <c r="AB14">
        <v>0.61160000000000003</v>
      </c>
    </row>
    <row r="15" spans="27:28">
      <c r="AA15">
        <v>46</v>
      </c>
      <c r="AB15">
        <v>0.61040000000000005</v>
      </c>
    </row>
    <row r="16" spans="27:28">
      <c r="AA16">
        <v>48</v>
      </c>
      <c r="AB16">
        <v>0.60919999999999996</v>
      </c>
    </row>
    <row r="17" spans="27:28">
      <c r="AA17">
        <v>50</v>
      </c>
      <c r="AB17">
        <v>0.60799999999999998</v>
      </c>
    </row>
    <row r="18" spans="27:28">
      <c r="AA18">
        <v>52</v>
      </c>
      <c r="AB18">
        <v>0.60680000000000001</v>
      </c>
    </row>
    <row r="19" spans="27:28">
      <c r="AA19">
        <v>54</v>
      </c>
      <c r="AB19">
        <v>0.60560000000000003</v>
      </c>
    </row>
    <row r="20" spans="27:28">
      <c r="AA20">
        <v>56</v>
      </c>
      <c r="AB20">
        <v>0.60440000000000005</v>
      </c>
    </row>
    <row r="21" spans="27:28">
      <c r="AA21">
        <v>58</v>
      </c>
      <c r="AB21">
        <v>0.60319999999999996</v>
      </c>
    </row>
    <row r="22" spans="27:28">
      <c r="AA22">
        <v>60</v>
      </c>
      <c r="AB22">
        <v>0.60199999999999998</v>
      </c>
    </row>
    <row r="23" spans="27:28">
      <c r="AA23">
        <v>62</v>
      </c>
      <c r="AB23">
        <v>0.6008</v>
      </c>
    </row>
    <row r="24" spans="27:28">
      <c r="AA24">
        <v>64</v>
      </c>
      <c r="AB24">
        <v>0.59960000000000002</v>
      </c>
    </row>
    <row r="25" spans="27:28">
      <c r="AA25">
        <v>66</v>
      </c>
      <c r="AB25">
        <v>0.59840000000000004</v>
      </c>
    </row>
    <row r="26" spans="27:28">
      <c r="AA26">
        <v>68</v>
      </c>
      <c r="AB26">
        <v>0.59719999999999995</v>
      </c>
    </row>
    <row r="27" spans="27:28">
      <c r="AA27">
        <v>70</v>
      </c>
      <c r="AB27">
        <v>0.59599999999999997</v>
      </c>
    </row>
    <row r="28" spans="27:28">
      <c r="AA28">
        <v>72</v>
      </c>
      <c r="AB28">
        <v>0.5948</v>
      </c>
    </row>
    <row r="29" spans="27:28">
      <c r="AA29">
        <v>74</v>
      </c>
      <c r="AB29">
        <v>0.59360000000000002</v>
      </c>
    </row>
    <row r="30" spans="27:28">
      <c r="AA30">
        <v>76</v>
      </c>
      <c r="AB30">
        <v>0.59240000000000004</v>
      </c>
    </row>
    <row r="31" spans="27:28">
      <c r="AA31">
        <v>78</v>
      </c>
      <c r="AB31">
        <v>0.59119999999999995</v>
      </c>
    </row>
    <row r="32" spans="27:28">
      <c r="AA32">
        <v>80</v>
      </c>
      <c r="AB32">
        <v>0.59</v>
      </c>
    </row>
    <row r="33" spans="27:28">
      <c r="AA33">
        <v>82</v>
      </c>
      <c r="AB33">
        <v>0.58879999999999999</v>
      </c>
    </row>
    <row r="34" spans="27:28">
      <c r="AA34">
        <v>83.2</v>
      </c>
      <c r="AB34">
        <v>0.59109999999999996</v>
      </c>
    </row>
    <row r="35" spans="27:28">
      <c r="AA35">
        <v>84</v>
      </c>
      <c r="AB35">
        <v>0.59409999999999996</v>
      </c>
    </row>
    <row r="36" spans="27:28">
      <c r="AA36">
        <v>86.4</v>
      </c>
      <c r="AB36">
        <v>0.61899999999999999</v>
      </c>
    </row>
    <row r="37" spans="27:28">
      <c r="AA37">
        <v>88.1</v>
      </c>
      <c r="AB37">
        <v>0.61599999999999999</v>
      </c>
    </row>
    <row r="38" spans="27:28">
      <c r="AA38">
        <v>90</v>
      </c>
      <c r="AB38">
        <v>0.61099999999999999</v>
      </c>
    </row>
    <row r="39" spans="27:28">
      <c r="AA39">
        <v>92</v>
      </c>
      <c r="AB39">
        <v>0.61099999999999999</v>
      </c>
    </row>
    <row r="40" spans="27:28">
      <c r="AA40">
        <v>94</v>
      </c>
      <c r="AB40">
        <v>0.61099999999999999</v>
      </c>
    </row>
    <row r="41" spans="27:28">
      <c r="AA41">
        <v>96</v>
      </c>
      <c r="AB41">
        <v>0.61299999999999999</v>
      </c>
    </row>
    <row r="42" spans="27:28">
      <c r="AA42">
        <v>98</v>
      </c>
      <c r="AB42">
        <v>0.61</v>
      </c>
    </row>
    <row r="43" spans="27:28">
      <c r="AA43">
        <v>100</v>
      </c>
      <c r="AB43">
        <v>0.60899999999999999</v>
      </c>
    </row>
    <row r="44" spans="27:28">
      <c r="AA44">
        <v>102</v>
      </c>
      <c r="AB44">
        <v>0.60899999999999999</v>
      </c>
    </row>
    <row r="45" spans="27:28">
      <c r="AA45">
        <v>104</v>
      </c>
      <c r="AB45">
        <v>0.60899999999999999</v>
      </c>
    </row>
    <row r="46" spans="27:28">
      <c r="AA46">
        <v>106</v>
      </c>
      <c r="AB46">
        <v>0.60899999999999999</v>
      </c>
    </row>
    <row r="47" spans="27:28">
      <c r="AA47">
        <v>108</v>
      </c>
      <c r="AB47">
        <v>0.60899999999999999</v>
      </c>
    </row>
    <row r="48" spans="27:28">
      <c r="AA48">
        <v>110</v>
      </c>
      <c r="AB48">
        <v>0.60899999999999999</v>
      </c>
    </row>
    <row r="49" spans="27:28">
      <c r="AA49">
        <v>112</v>
      </c>
      <c r="AB49">
        <v>0.60899999999999999</v>
      </c>
    </row>
    <row r="50" spans="27:28">
      <c r="AA50">
        <v>114</v>
      </c>
      <c r="AB50">
        <v>0.60899999999999999</v>
      </c>
    </row>
    <row r="51" spans="27:28">
      <c r="AA51">
        <v>116</v>
      </c>
      <c r="AB51">
        <v>0.60899999999999999</v>
      </c>
    </row>
    <row r="52" spans="27:28">
      <c r="AA52">
        <v>118</v>
      </c>
      <c r="AB52">
        <v>0.60799999999999998</v>
      </c>
    </row>
    <row r="53" spans="27:28">
      <c r="AA53">
        <v>120</v>
      </c>
      <c r="AB53">
        <v>0.60899999999999999</v>
      </c>
    </row>
    <row r="54" spans="27:28">
      <c r="AA54">
        <v>122</v>
      </c>
      <c r="AB54">
        <v>0.60799999999999998</v>
      </c>
    </row>
    <row r="55" spans="27:28">
      <c r="AA55">
        <v>124</v>
      </c>
      <c r="AB55">
        <v>0.60899999999999999</v>
      </c>
    </row>
    <row r="56" spans="27:28">
      <c r="AA56">
        <v>126</v>
      </c>
      <c r="AB56">
        <v>0.60799999999999998</v>
      </c>
    </row>
    <row r="57" spans="27:28">
      <c r="AA57">
        <v>128</v>
      </c>
      <c r="AB57">
        <v>0.60799999999999998</v>
      </c>
    </row>
    <row r="58" spans="27:28">
      <c r="AA58">
        <v>130</v>
      </c>
      <c r="AB58">
        <v>0.60799999999999998</v>
      </c>
    </row>
    <row r="59" spans="27:28">
      <c r="AA59">
        <v>132</v>
      </c>
      <c r="AB59">
        <v>0.60699999999999998</v>
      </c>
    </row>
    <row r="60" spans="27:28">
      <c r="AA60">
        <v>134</v>
      </c>
      <c r="AB60">
        <v>0.60699999999999998</v>
      </c>
    </row>
    <row r="61" spans="27:28">
      <c r="AA61">
        <v>136</v>
      </c>
      <c r="AB61">
        <v>0.60670000000000002</v>
      </c>
    </row>
    <row r="62" spans="27:28">
      <c r="AA62">
        <v>138</v>
      </c>
      <c r="AB62">
        <v>0.60640000000000005</v>
      </c>
    </row>
    <row r="63" spans="27:28">
      <c r="AA63">
        <v>140</v>
      </c>
      <c r="AB63">
        <v>0.60609999999999997</v>
      </c>
    </row>
    <row r="64" spans="27:28">
      <c r="AA64">
        <v>142</v>
      </c>
      <c r="AB64">
        <v>0.60580000000000001</v>
      </c>
    </row>
    <row r="65" spans="27:28">
      <c r="AA65">
        <v>144</v>
      </c>
      <c r="AB65">
        <v>0.60550000000000004</v>
      </c>
    </row>
    <row r="66" spans="27:28">
      <c r="AA66">
        <v>146</v>
      </c>
      <c r="AB66">
        <v>0.61</v>
      </c>
    </row>
    <row r="67" spans="27:28">
      <c r="AA67">
        <v>148</v>
      </c>
      <c r="AB67">
        <v>0.61199999999999999</v>
      </c>
    </row>
    <row r="68" spans="27:28">
      <c r="AA68">
        <v>188</v>
      </c>
      <c r="AB68">
        <v>0.61299999999999999</v>
      </c>
    </row>
    <row r="69" spans="27:28">
      <c r="AA69">
        <v>190</v>
      </c>
      <c r="AB69">
        <v>0.61399999999999999</v>
      </c>
    </row>
    <row r="70" spans="27:28">
      <c r="AA70">
        <v>192</v>
      </c>
      <c r="AB70">
        <v>0.61499999999999999</v>
      </c>
    </row>
    <row r="71" spans="27:28">
      <c r="AA71">
        <v>194</v>
      </c>
      <c r="AB71">
        <v>0.61499999999999999</v>
      </c>
    </row>
    <row r="72" spans="27:28">
      <c r="AA72">
        <v>196</v>
      </c>
      <c r="AB72">
        <v>0.61499999999999999</v>
      </c>
    </row>
    <row r="73" spans="27:28">
      <c r="AA73">
        <v>198</v>
      </c>
      <c r="AB73">
        <v>0.61499999999999999</v>
      </c>
    </row>
    <row r="74" spans="27:28">
      <c r="AA74">
        <v>200</v>
      </c>
      <c r="AB74">
        <v>0.61499999999999999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3171-371C-4593-A0AA-2D894BD321CA}">
  <sheetPr>
    <pageSetUpPr fitToPage="1"/>
  </sheetPr>
  <dimension ref="Q6:R51"/>
  <sheetViews>
    <sheetView topLeftCell="R13" zoomScale="157" zoomScaleNormal="145" workbookViewId="0">
      <selection activeCell="AC29" sqref="AC29"/>
    </sheetView>
  </sheetViews>
  <sheetFormatPr defaultColWidth="8.85546875" defaultRowHeight="15"/>
  <cols>
    <col min="17" max="17" width="15.140625" customWidth="1"/>
  </cols>
  <sheetData>
    <row r="6" spans="17:18" ht="48">
      <c r="Q6" s="5" t="s">
        <v>0</v>
      </c>
      <c r="R6" s="5" t="s">
        <v>1</v>
      </c>
    </row>
    <row r="7" spans="17:18">
      <c r="Q7" s="1">
        <v>30</v>
      </c>
      <c r="R7" s="1">
        <v>0.36</v>
      </c>
    </row>
    <row r="8" spans="17:18">
      <c r="Q8" s="1">
        <v>31</v>
      </c>
      <c r="R8" s="1">
        <v>0.48</v>
      </c>
    </row>
    <row r="9" spans="17:18">
      <c r="Q9" s="1">
        <v>32</v>
      </c>
      <c r="R9" s="1">
        <v>0.56000000000000005</v>
      </c>
    </row>
    <row r="10" spans="17:18">
      <c r="Q10" s="1">
        <v>33</v>
      </c>
      <c r="R10" s="1">
        <v>0.6</v>
      </c>
    </row>
    <row r="11" spans="17:18">
      <c r="Q11" s="1">
        <v>34</v>
      </c>
      <c r="R11" s="1">
        <v>0.64</v>
      </c>
    </row>
    <row r="12" spans="17:18">
      <c r="Q12" s="1">
        <v>35</v>
      </c>
      <c r="R12" s="1">
        <v>0.68</v>
      </c>
    </row>
    <row r="13" spans="17:18">
      <c r="Q13" s="1">
        <v>36</v>
      </c>
      <c r="R13" s="1">
        <v>0.71</v>
      </c>
    </row>
    <row r="14" spans="17:18">
      <c r="Q14" s="1">
        <v>37</v>
      </c>
      <c r="R14" s="1">
        <v>0.75</v>
      </c>
    </row>
    <row r="15" spans="17:18">
      <c r="Q15" s="1">
        <v>38</v>
      </c>
      <c r="R15" s="1">
        <v>0.77</v>
      </c>
    </row>
    <row r="16" spans="17:18">
      <c r="Q16" s="1">
        <v>39</v>
      </c>
      <c r="R16" s="1">
        <v>0.79</v>
      </c>
    </row>
    <row r="17" spans="17:18">
      <c r="Q17" s="1">
        <v>40</v>
      </c>
      <c r="R17" s="1">
        <v>0.8</v>
      </c>
    </row>
    <row r="18" spans="17:18">
      <c r="Q18" s="1">
        <v>43.3</v>
      </c>
      <c r="R18" s="1">
        <v>0.8</v>
      </c>
    </row>
    <row r="19" spans="17:18">
      <c r="Q19" s="1">
        <v>46.6</v>
      </c>
      <c r="R19" s="1">
        <v>0.79</v>
      </c>
    </row>
    <row r="20" spans="17:18">
      <c r="Q20" s="1">
        <v>50</v>
      </c>
      <c r="R20" s="1">
        <v>0.78</v>
      </c>
    </row>
    <row r="21" spans="17:18">
      <c r="Q21" s="1">
        <v>60</v>
      </c>
      <c r="R21" s="1">
        <v>0.77</v>
      </c>
    </row>
    <row r="22" spans="17:18">
      <c r="Q22" s="1">
        <v>70</v>
      </c>
      <c r="R22" s="1">
        <v>0.76</v>
      </c>
    </row>
    <row r="23" spans="17:18">
      <c r="Q23" s="1">
        <v>80</v>
      </c>
      <c r="R23" s="1">
        <v>0.75</v>
      </c>
    </row>
    <row r="24" spans="17:18">
      <c r="Q24" s="1">
        <v>90</v>
      </c>
      <c r="R24" s="1">
        <v>0.75</v>
      </c>
    </row>
    <row r="25" spans="17:18">
      <c r="Q25" s="1">
        <v>100</v>
      </c>
      <c r="R25" s="1">
        <v>0.74</v>
      </c>
    </row>
    <row r="26" spans="17:18">
      <c r="Q26" s="1">
        <v>110</v>
      </c>
      <c r="R26" s="1">
        <v>0.74</v>
      </c>
    </row>
    <row r="27" spans="17:18">
      <c r="Q27" s="1">
        <v>120</v>
      </c>
      <c r="R27" s="1">
        <v>0.74</v>
      </c>
    </row>
    <row r="28" spans="17:18">
      <c r="Q28" s="1">
        <v>130</v>
      </c>
      <c r="R28" s="1">
        <v>0.75</v>
      </c>
    </row>
    <row r="29" spans="17:18">
      <c r="Q29" s="1">
        <v>140</v>
      </c>
      <c r="R29" s="1">
        <v>0.78</v>
      </c>
    </row>
    <row r="30" spans="17:18">
      <c r="Q30" s="1">
        <v>145</v>
      </c>
      <c r="R30" s="1">
        <v>0.8</v>
      </c>
    </row>
    <row r="31" spans="17:18">
      <c r="Q31" s="1">
        <v>150</v>
      </c>
      <c r="R31" s="1">
        <v>0.84</v>
      </c>
    </row>
    <row r="32" spans="17:18">
      <c r="Q32" s="1">
        <v>152</v>
      </c>
      <c r="R32" s="1">
        <v>0.87</v>
      </c>
    </row>
    <row r="33" spans="17:18">
      <c r="Q33" s="1">
        <v>154</v>
      </c>
      <c r="R33" s="1">
        <v>0.92</v>
      </c>
    </row>
    <row r="34" spans="17:18">
      <c r="Q34" s="1">
        <v>154.69999999999999</v>
      </c>
      <c r="R34" s="1">
        <v>0.94</v>
      </c>
    </row>
    <row r="35" spans="17:18">
      <c r="Q35" s="1">
        <v>156</v>
      </c>
      <c r="R35" s="1">
        <v>0.99</v>
      </c>
    </row>
    <row r="36" spans="17:18">
      <c r="Q36" s="1">
        <v>158</v>
      </c>
      <c r="R36" s="1">
        <v>1.1499999999999999</v>
      </c>
    </row>
    <row r="37" spans="17:18">
      <c r="Q37" s="1">
        <v>160</v>
      </c>
      <c r="R37" s="1">
        <v>1.3</v>
      </c>
    </row>
    <row r="38" spans="17:18">
      <c r="Q38" s="1">
        <v>162</v>
      </c>
      <c r="R38" s="1">
        <v>1.45</v>
      </c>
    </row>
    <row r="39" spans="17:18">
      <c r="Q39" s="1">
        <v>165</v>
      </c>
      <c r="R39" s="1">
        <v>1.65</v>
      </c>
    </row>
    <row r="40" spans="17:18">
      <c r="Q40" s="1">
        <v>167</v>
      </c>
      <c r="R40" s="1">
        <v>1.8</v>
      </c>
    </row>
    <row r="41" spans="17:18">
      <c r="Q41" s="1">
        <v>169.3</v>
      </c>
      <c r="R41" s="1">
        <v>1.9</v>
      </c>
    </row>
    <row r="42" spans="17:18">
      <c r="Q42" s="1">
        <v>171</v>
      </c>
      <c r="R42" s="1">
        <v>1.7</v>
      </c>
    </row>
    <row r="43" spans="17:18">
      <c r="Q43" s="1">
        <v>172</v>
      </c>
      <c r="R43" s="1">
        <v>1.4</v>
      </c>
    </row>
    <row r="44" spans="17:18">
      <c r="Q44" s="1">
        <v>173</v>
      </c>
      <c r="R44" s="1">
        <v>0.9</v>
      </c>
    </row>
    <row r="45" spans="17:18">
      <c r="Q45" s="1">
        <v>174</v>
      </c>
      <c r="R45" s="1">
        <v>0.81</v>
      </c>
    </row>
    <row r="46" spans="17:18">
      <c r="Q46" s="1">
        <v>175.3</v>
      </c>
      <c r="R46" s="1">
        <v>0.77</v>
      </c>
    </row>
    <row r="47" spans="17:18">
      <c r="Q47" s="1">
        <v>176</v>
      </c>
      <c r="R47" s="1">
        <v>0.75</v>
      </c>
    </row>
    <row r="48" spans="17:18">
      <c r="Q48" s="1">
        <v>178</v>
      </c>
      <c r="R48" s="1">
        <v>0.74</v>
      </c>
    </row>
    <row r="49" spans="17:18">
      <c r="Q49" s="1">
        <v>180</v>
      </c>
      <c r="R49" s="1">
        <v>0.74</v>
      </c>
    </row>
    <row r="50" spans="17:18">
      <c r="Q50" s="1">
        <v>185</v>
      </c>
      <c r="R50" s="1">
        <v>0.74</v>
      </c>
    </row>
    <row r="51" spans="17:18">
      <c r="Q51" s="1">
        <v>190</v>
      </c>
      <c r="R51" s="1">
        <v>0.74</v>
      </c>
    </row>
  </sheetData>
  <pageMargins left="0.7" right="0.7" top="0.75" bottom="0.75" header="0.3" footer="0.3"/>
  <pageSetup paperSize="9" scale="51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E739-F85D-4235-8BF9-4130916D9215}">
  <dimension ref="R2:S35"/>
  <sheetViews>
    <sheetView topLeftCell="Q4" zoomScale="157" zoomScaleNormal="157" workbookViewId="0">
      <selection activeCell="AC20" sqref="AC20"/>
    </sheetView>
  </sheetViews>
  <sheetFormatPr defaultColWidth="8.85546875" defaultRowHeight="15"/>
  <sheetData>
    <row r="2" spans="18:19">
      <c r="R2" s="2">
        <v>30</v>
      </c>
      <c r="S2" s="2">
        <v>0.39</v>
      </c>
    </row>
    <row r="3" spans="18:19">
      <c r="R3" s="2">
        <v>32</v>
      </c>
      <c r="S3" s="2">
        <v>0.54</v>
      </c>
    </row>
    <row r="4" spans="18:19">
      <c r="R4" s="2">
        <v>34</v>
      </c>
      <c r="S4" s="2">
        <v>0.69</v>
      </c>
    </row>
    <row r="5" spans="18:19">
      <c r="R5" s="2">
        <v>36</v>
      </c>
      <c r="S5" s="2">
        <v>0.81</v>
      </c>
    </row>
    <row r="6" spans="18:19">
      <c r="R6" s="2">
        <v>38</v>
      </c>
      <c r="S6" s="2">
        <v>0.9</v>
      </c>
    </row>
    <row r="7" spans="18:19">
      <c r="R7" s="2">
        <v>40</v>
      </c>
      <c r="S7" s="2">
        <v>0.95</v>
      </c>
    </row>
    <row r="8" spans="18:19">
      <c r="R8" s="2">
        <v>42</v>
      </c>
      <c r="S8" s="2">
        <v>0.95</v>
      </c>
    </row>
    <row r="9" spans="18:19">
      <c r="R9" s="2">
        <v>44</v>
      </c>
      <c r="S9" s="2">
        <v>0.94</v>
      </c>
    </row>
    <row r="10" spans="18:19">
      <c r="R10" s="2">
        <v>46</v>
      </c>
      <c r="S10" s="2">
        <v>0.94</v>
      </c>
    </row>
    <row r="11" spans="18:19">
      <c r="R11" s="2">
        <v>48</v>
      </c>
      <c r="S11" s="2">
        <v>0.93</v>
      </c>
    </row>
    <row r="12" spans="18:19">
      <c r="R12" s="2">
        <v>50</v>
      </c>
      <c r="S12" s="2">
        <v>0.92</v>
      </c>
    </row>
    <row r="13" spans="18:19">
      <c r="R13" s="2">
        <v>60</v>
      </c>
      <c r="S13" s="2">
        <v>0.91</v>
      </c>
    </row>
    <row r="14" spans="18:19">
      <c r="R14" s="2">
        <v>80</v>
      </c>
      <c r="S14" s="2">
        <v>0.88</v>
      </c>
    </row>
    <row r="15" spans="18:19">
      <c r="R15" s="2">
        <v>100</v>
      </c>
      <c r="S15" s="2">
        <v>0.88</v>
      </c>
    </row>
    <row r="16" spans="18:19">
      <c r="R16" s="2">
        <v>120</v>
      </c>
      <c r="S16" s="2">
        <v>0.88</v>
      </c>
    </row>
    <row r="17" spans="18:19">
      <c r="R17" s="2">
        <v>140</v>
      </c>
      <c r="S17" s="2">
        <v>0.88</v>
      </c>
    </row>
    <row r="18" spans="18:19">
      <c r="R18" s="2">
        <v>150</v>
      </c>
      <c r="S18" s="2">
        <v>1.1000000000000001</v>
      </c>
    </row>
    <row r="19" spans="18:19">
      <c r="R19" s="2">
        <v>155</v>
      </c>
      <c r="S19" s="2">
        <v>1.3</v>
      </c>
    </row>
    <row r="20" spans="18:19">
      <c r="R20" s="2">
        <v>160</v>
      </c>
      <c r="S20" s="2">
        <v>1.5</v>
      </c>
    </row>
    <row r="21" spans="18:19">
      <c r="R21" s="2">
        <v>161.19999999999999</v>
      </c>
      <c r="S21" s="2">
        <v>1.6</v>
      </c>
    </row>
    <row r="22" spans="18:19">
      <c r="R22" s="2">
        <v>163</v>
      </c>
      <c r="S22" s="2">
        <v>1.7</v>
      </c>
    </row>
    <row r="23" spans="18:19">
      <c r="R23" s="2">
        <v>165</v>
      </c>
      <c r="S23" s="2">
        <v>1.9</v>
      </c>
    </row>
    <row r="24" spans="18:19">
      <c r="R24" s="2">
        <v>167</v>
      </c>
      <c r="S24" s="2">
        <v>2.1</v>
      </c>
    </row>
    <row r="25" spans="18:19">
      <c r="R25" s="2">
        <v>169</v>
      </c>
      <c r="S25" s="2">
        <v>2.5</v>
      </c>
    </row>
    <row r="26" spans="18:19">
      <c r="R26" s="2">
        <v>169.9</v>
      </c>
      <c r="S26" s="2">
        <v>2.65</v>
      </c>
    </row>
    <row r="27" spans="18:19">
      <c r="R27" s="2">
        <v>171</v>
      </c>
      <c r="S27" s="2">
        <v>2.5</v>
      </c>
    </row>
    <row r="28" spans="18:19">
      <c r="R28" s="2">
        <v>172</v>
      </c>
      <c r="S28" s="2">
        <v>2</v>
      </c>
    </row>
    <row r="29" spans="18:19">
      <c r="R29" s="2">
        <v>173</v>
      </c>
      <c r="S29" s="2">
        <v>1.2</v>
      </c>
    </row>
    <row r="30" spans="18:19">
      <c r="R30" s="2">
        <v>174</v>
      </c>
      <c r="S30" s="2">
        <v>1</v>
      </c>
    </row>
    <row r="31" spans="18:19">
      <c r="R31" s="2">
        <v>174.6</v>
      </c>
      <c r="S31" s="2">
        <v>0.98</v>
      </c>
    </row>
    <row r="32" spans="18:19">
      <c r="R32" s="2">
        <v>176</v>
      </c>
      <c r="S32" s="2">
        <v>0.94</v>
      </c>
    </row>
    <row r="33" spans="18:19">
      <c r="R33" s="2">
        <v>180</v>
      </c>
      <c r="S33" s="2">
        <v>0.88</v>
      </c>
    </row>
    <row r="34" spans="18:19">
      <c r="R34" s="2">
        <v>185</v>
      </c>
      <c r="S34" s="2">
        <v>0.88</v>
      </c>
    </row>
    <row r="35" spans="18:19">
      <c r="R35" s="2">
        <v>190</v>
      </c>
      <c r="S35" s="2">
        <v>0.88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6962-DB96-4704-A87F-41DA085CEBA1}">
  <dimension ref="B7:O24"/>
  <sheetViews>
    <sheetView topLeftCell="A5" zoomScale="150" workbookViewId="0">
      <selection activeCell="H19" sqref="H19"/>
    </sheetView>
  </sheetViews>
  <sheetFormatPr defaultColWidth="8.85546875" defaultRowHeight="15"/>
  <cols>
    <col min="3" max="3" width="23.85546875" customWidth="1"/>
    <col min="4" max="4" width="11.7109375" bestFit="1" customWidth="1"/>
    <col min="5" max="5" width="15.140625" bestFit="1" customWidth="1"/>
    <col min="6" max="6" width="12.42578125" bestFit="1" customWidth="1"/>
    <col min="12" max="12" width="20.42578125" customWidth="1"/>
    <col min="13" max="13" width="25.7109375" customWidth="1"/>
    <col min="14" max="14" width="11.7109375" bestFit="1" customWidth="1"/>
    <col min="15" max="15" width="14.140625" bestFit="1" customWidth="1"/>
  </cols>
  <sheetData>
    <row r="7" spans="2:6">
      <c r="B7" s="3"/>
      <c r="C7" s="3"/>
      <c r="D7" s="4" t="s">
        <v>2</v>
      </c>
      <c r="E7" s="4" t="s">
        <v>3</v>
      </c>
      <c r="F7" s="4" t="s">
        <v>4</v>
      </c>
    </row>
    <row r="8" spans="2:6">
      <c r="B8" s="16" t="s">
        <v>5</v>
      </c>
      <c r="C8" s="16"/>
      <c r="D8" s="4" t="s">
        <v>6</v>
      </c>
      <c r="E8" s="4">
        <v>169.3</v>
      </c>
      <c r="F8" s="4">
        <v>169.9</v>
      </c>
    </row>
    <row r="9" spans="2:6">
      <c r="B9" s="16" t="s">
        <v>7</v>
      </c>
      <c r="C9" s="16"/>
      <c r="D9" s="4">
        <v>86.2</v>
      </c>
      <c r="E9" s="4" t="s">
        <v>6</v>
      </c>
      <c r="F9" s="4" t="s">
        <v>6</v>
      </c>
    </row>
    <row r="10" spans="2:6">
      <c r="B10" s="16" t="s">
        <v>8</v>
      </c>
      <c r="C10" s="16"/>
      <c r="D10" s="11">
        <v>0</v>
      </c>
      <c r="E10" s="11">
        <v>107.3</v>
      </c>
      <c r="F10" s="11">
        <v>88.25</v>
      </c>
    </row>
    <row r="11" spans="2:6">
      <c r="B11" s="16" t="s">
        <v>9</v>
      </c>
      <c r="C11" s="16"/>
      <c r="D11" s="4">
        <f>M24</f>
        <v>0</v>
      </c>
      <c r="E11" s="12">
        <f>N24</f>
        <v>51.810719459198452</v>
      </c>
      <c r="F11" s="12">
        <f>O24</f>
        <v>42.612264606470305</v>
      </c>
    </row>
    <row r="12" spans="2:6">
      <c r="B12" s="1"/>
      <c r="C12" s="1"/>
      <c r="D12" s="3"/>
      <c r="E12" s="13"/>
      <c r="F12" s="13"/>
    </row>
    <row r="13" spans="2:6">
      <c r="B13" s="1"/>
      <c r="C13" s="1"/>
      <c r="D13" s="3"/>
      <c r="E13" s="13"/>
      <c r="F13" s="13"/>
    </row>
    <row r="14" spans="2:6">
      <c r="B14" s="1"/>
      <c r="C14" s="1"/>
      <c r="D14" s="3"/>
      <c r="E14" s="13"/>
      <c r="F14" s="13"/>
    </row>
    <row r="15" spans="2:6">
      <c r="D15" s="15" t="s">
        <v>10</v>
      </c>
      <c r="E15" s="15"/>
      <c r="F15" s="15"/>
    </row>
    <row r="16" spans="2:6">
      <c r="B16" s="3"/>
      <c r="C16" s="3"/>
      <c r="D16" s="4" t="s">
        <v>2</v>
      </c>
      <c r="E16" s="4" t="s">
        <v>3</v>
      </c>
      <c r="F16" s="4" t="s">
        <v>4</v>
      </c>
    </row>
    <row r="17" spans="2:15" ht="32.1">
      <c r="B17" s="16" t="s">
        <v>5</v>
      </c>
      <c r="C17" s="16"/>
      <c r="D17" s="4" t="s">
        <v>6</v>
      </c>
      <c r="E17" s="4" t="s">
        <v>11</v>
      </c>
      <c r="F17" s="4" t="s">
        <v>11</v>
      </c>
      <c r="L17" s="8" t="s">
        <v>12</v>
      </c>
      <c r="M17" s="6" t="s">
        <v>13</v>
      </c>
    </row>
    <row r="18" spans="2:15" ht="32.1">
      <c r="B18" s="16" t="s">
        <v>7</v>
      </c>
      <c r="C18" s="16"/>
      <c r="D18" s="4" t="s">
        <v>14</v>
      </c>
      <c r="E18" s="14" t="s">
        <v>15</v>
      </c>
      <c r="F18" s="4" t="s">
        <v>6</v>
      </c>
      <c r="L18" s="8" t="s">
        <v>16</v>
      </c>
      <c r="M18" s="7" t="s">
        <v>17</v>
      </c>
    </row>
    <row r="19" spans="2:15" ht="48">
      <c r="B19" s="16" t="s">
        <v>8</v>
      </c>
      <c r="C19" s="16"/>
      <c r="D19" s="11">
        <v>0</v>
      </c>
      <c r="E19" s="11">
        <v>207.1</v>
      </c>
      <c r="F19" s="11">
        <v>207.1</v>
      </c>
      <c r="L19" s="8" t="s">
        <v>18</v>
      </c>
      <c r="M19" s="7" t="s">
        <v>19</v>
      </c>
    </row>
    <row r="20" spans="2:15">
      <c r="B20" s="16" t="s">
        <v>9</v>
      </c>
      <c r="C20" s="16"/>
      <c r="D20" s="4">
        <f>M30</f>
        <v>0</v>
      </c>
      <c r="E20" s="12">
        <f>N30</f>
        <v>0</v>
      </c>
      <c r="F20" s="12">
        <f>O30</f>
        <v>0</v>
      </c>
    </row>
    <row r="23" spans="2:15" ht="15.95">
      <c r="L23" s="1"/>
      <c r="M23" s="1" t="s">
        <v>2</v>
      </c>
      <c r="N23" s="1" t="s">
        <v>4</v>
      </c>
      <c r="O23" s="1" t="s">
        <v>3</v>
      </c>
    </row>
    <row r="24" spans="2:15" ht="21" customHeight="1">
      <c r="B24" s="10" t="s">
        <v>18</v>
      </c>
      <c r="C24" s="9">
        <v>207.1</v>
      </c>
      <c r="L24" s="1" t="s">
        <v>20</v>
      </c>
      <c r="M24" s="1">
        <v>0</v>
      </c>
      <c r="N24" s="1">
        <f>(E10/C24)*100</f>
        <v>51.810719459198452</v>
      </c>
      <c r="O24" s="1">
        <f>(F10/C24)*100</f>
        <v>42.612264606470305</v>
      </c>
    </row>
  </sheetData>
  <mergeCells count="9">
    <mergeCell ref="B8:C8"/>
    <mergeCell ref="B9:C9"/>
    <mergeCell ref="B10:C10"/>
    <mergeCell ref="B11:C11"/>
    <mergeCell ref="D15:F15"/>
    <mergeCell ref="B17:C17"/>
    <mergeCell ref="B18:C18"/>
    <mergeCell ref="B19:C19"/>
    <mergeCell ref="B20:C20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c196679-7981-4349-bc4e-cce3128c73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5C49BE653F9E45A32DF55C76873720" ma:contentTypeVersion="10" ma:contentTypeDescription="Criar um novo documento." ma:contentTypeScope="" ma:versionID="6939cb2b41d63dbee215626246337cb4">
  <xsd:schema xmlns:xsd="http://www.w3.org/2001/XMLSchema" xmlns:xs="http://www.w3.org/2001/XMLSchema" xmlns:p="http://schemas.microsoft.com/office/2006/metadata/properties" xmlns:ns3="fc196679-7981-4349-bc4e-cce3128c7385" targetNamespace="http://schemas.microsoft.com/office/2006/metadata/properties" ma:root="true" ma:fieldsID="756fcfa5c739c97a57389071b7353895" ns3:_="">
    <xsd:import namespace="fc196679-7981-4349-bc4e-cce3128c73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96679-7981-4349-bc4e-cce3128c7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9CD131-8171-4FA2-99F7-0DC9747D532A}"/>
</file>

<file path=customXml/itemProps2.xml><?xml version="1.0" encoding="utf-8"?>
<ds:datastoreItem xmlns:ds="http://schemas.openxmlformats.org/officeDocument/2006/customXml" ds:itemID="{BC9D200C-CFC3-4541-9DBD-C82800F64895}"/>
</file>

<file path=customXml/itemProps3.xml><?xml version="1.0" encoding="utf-8"?>
<ds:datastoreItem xmlns:ds="http://schemas.openxmlformats.org/officeDocument/2006/customXml" ds:itemID="{A419F798-7B43-4100-B398-77CBD9D18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Afonso Ferreira Lopes</dc:creator>
  <cp:keywords/>
  <dc:description/>
  <cp:lastModifiedBy/>
  <cp:revision/>
  <dcterms:created xsi:type="dcterms:W3CDTF">2025-04-24T14:48:32Z</dcterms:created>
  <dcterms:modified xsi:type="dcterms:W3CDTF">2026-07-10T16:41:49Z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0x010100305C49BE653F9E45A32DF55C76873720</vt:lpwstr>
  </property>
</Properties>
</file>